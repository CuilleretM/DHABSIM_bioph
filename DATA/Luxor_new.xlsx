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20_04_2026\DATA\"/>
    </mc:Choice>
  </mc:AlternateContent>
  <xr:revisionPtr revIDLastSave="0" documentId="13_ncr:1_{326E7692-BE34-4244-9554-CDCF4570EDF9}" xr6:coauthVersionLast="47" xr6:coauthVersionMax="47" xr10:uidLastSave="{00000000-0000-0000-0000-000000000000}"/>
  <bookViews>
    <workbookView xWindow="-108" yWindow="-108" windowWidth="23256" windowHeight="12456" xr2:uid="{1FC92112-6D86-42C8-A539-941B6DFF6310}"/>
  </bookViews>
  <sheets>
    <sheet name="sets" sheetId="15" r:id="rId1"/>
    <sheet name="value_chain" sheetId="12" r:id="rId2"/>
    <sheet name="risk" sheetId="16" r:id="rId3"/>
    <sheet name="price_data" sheetId="17" r:id="rId4"/>
    <sheet name="nitrogen" sheetId="18" r:id="rId5"/>
    <sheet name="Livestock" sheetId="19" r:id="rId6"/>
    <sheet name="household_data" sheetId="20" r:id="rId7"/>
    <sheet name="farm_data" sheetId="21" r:id="rId8"/>
    <sheet name="energy_data" sheetId="22" r:id="rId9"/>
    <sheet name="crop_data" sheetId="23" r:id="rId10"/>
    <sheet name="calib_data" sheetId="24" r:id="rId11"/>
    <sheet name="water" sheetId="25" r:id="rId12"/>
    <sheet name="agroforestry_data" sheetId="26" r:id="rId13"/>
  </sheets>
  <definedNames>
    <definedName name="_xlnm._FilterDatabase" localSheetId="6" hidden="1">household_data!#REF!</definedName>
    <definedName name="_xlnm._FilterDatabase" localSheetId="5" hidden="1">Livestock!$M$4:$X$39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9" i="22" l="1"/>
  <c r="AC10" i="22"/>
  <c r="AC11" i="22"/>
  <c r="AC12" i="22"/>
  <c r="AC13" i="22"/>
  <c r="AC14" i="22"/>
  <c r="AC15" i="22"/>
  <c r="AC16" i="22"/>
  <c r="AC8" i="22"/>
  <c r="AC7" i="22"/>
  <c r="AC6" i="22"/>
  <c r="AC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" i="22"/>
</calcChain>
</file>

<file path=xl/sharedStrings.xml><?xml version="1.0" encoding="utf-8"?>
<sst xmlns="http://schemas.openxmlformats.org/spreadsheetml/2006/main" count="4116" uniqueCount="642">
  <si>
    <t>fertilizer_N_seller1</t>
  </si>
  <si>
    <t>Name of seller</t>
  </si>
  <si>
    <t>seller</t>
  </si>
  <si>
    <t>inout</t>
  </si>
  <si>
    <t>nitr</t>
  </si>
  <si>
    <t>p_labor_seller</t>
  </si>
  <si>
    <t>p_capacity_seller</t>
  </si>
  <si>
    <t>buyer</t>
  </si>
  <si>
    <t>crop_market1</t>
  </si>
  <si>
    <t>p_capacity_buyer</t>
  </si>
  <si>
    <t>p_labor_buyer</t>
  </si>
  <si>
    <t>hh_1</t>
  </si>
  <si>
    <t>hh_2</t>
  </si>
  <si>
    <t>actor</t>
  </si>
  <si>
    <t>seeder</t>
  </si>
  <si>
    <t>crop</t>
  </si>
  <si>
    <t>p_capacity_seeder</t>
  </si>
  <si>
    <t>p_labor_seeder</t>
  </si>
  <si>
    <t>p_price_seeder</t>
  </si>
  <si>
    <t>p_price_buyer</t>
  </si>
  <si>
    <t>p_price_seller</t>
  </si>
  <si>
    <t>bovmeat</t>
  </si>
  <si>
    <t>goatmeat</t>
  </si>
  <si>
    <t>sheepmeat</t>
  </si>
  <si>
    <t>bovmilk</t>
  </si>
  <si>
    <t>Input and output list</t>
  </si>
  <si>
    <t>Maximum capacity of sell of each seller</t>
  </si>
  <si>
    <t>Number of day of work for a saler to consider one kg of input</t>
  </si>
  <si>
    <t>Price for one kg of input</t>
  </si>
  <si>
    <t>Seller data</t>
  </si>
  <si>
    <t>Name of seed seller</t>
  </si>
  <si>
    <t>Maximum capacity of sell of each seed seller</t>
  </si>
  <si>
    <t>Price for one kg of seed</t>
  </si>
  <si>
    <t>Seed seller data</t>
  </si>
  <si>
    <t>Name of buyer</t>
  </si>
  <si>
    <t>Maximum capacity of buy of each buyer</t>
  </si>
  <si>
    <t>Number of day of work for a buyer per kg of output</t>
  </si>
  <si>
    <t>Output list</t>
  </si>
  <si>
    <t>Buyer data</t>
  </si>
  <si>
    <t>Distance data</t>
  </si>
  <si>
    <t>Household</t>
  </si>
  <si>
    <t>hhold</t>
  </si>
  <si>
    <t>Buyer, seller and seeder name</t>
  </si>
  <si>
    <t>distance</t>
  </si>
  <si>
    <t>phyto</t>
  </si>
  <si>
    <t>phyto_seller_1</t>
  </si>
  <si>
    <t>other</t>
  </si>
  <si>
    <t>other_seller_1</t>
  </si>
  <si>
    <t>fertilizer_AF_seller1</t>
  </si>
  <si>
    <t>Seller data AF</t>
  </si>
  <si>
    <t>phyto_AF_seller_1</t>
  </si>
  <si>
    <t>other_AF_seller_1</t>
  </si>
  <si>
    <t>plants_nb</t>
  </si>
  <si>
    <t>plants_AF_seller_1</t>
  </si>
  <si>
    <t>Seller data A</t>
  </si>
  <si>
    <t>other_A_seller_1</t>
  </si>
  <si>
    <t>othCostLivestock</t>
  </si>
  <si>
    <t>costVeterinary</t>
  </si>
  <si>
    <t>veterinary_A_seller_1</t>
  </si>
  <si>
    <t>AdditionalCostLivestock</t>
  </si>
  <si>
    <t>additional_A_seller_1</t>
  </si>
  <si>
    <t>Livestock seller</t>
  </si>
  <si>
    <t>livestock_market_1</t>
  </si>
  <si>
    <t>dairy</t>
  </si>
  <si>
    <t>beef</t>
  </si>
  <si>
    <t>sheep</t>
  </si>
  <si>
    <t>goat_meat</t>
  </si>
  <si>
    <t>goat_milk</t>
  </si>
  <si>
    <t>inout_a</t>
  </si>
  <si>
    <t>feedc</t>
  </si>
  <si>
    <t>feed_market_1</t>
  </si>
  <si>
    <t>dwheat_straw</t>
  </si>
  <si>
    <t>oat_straw</t>
  </si>
  <si>
    <t>barley_straw</t>
  </si>
  <si>
    <t>concentrate</t>
  </si>
  <si>
    <t>type_animal</t>
  </si>
  <si>
    <t>GHG data</t>
  </si>
  <si>
    <t>Products and other</t>
  </si>
  <si>
    <t>GHG</t>
  </si>
  <si>
    <t>ghg_km</t>
  </si>
  <si>
    <t xml:space="preserve">nitr  </t>
  </si>
  <si>
    <t>averageresidue</t>
  </si>
  <si>
    <t>manure</t>
  </si>
  <si>
    <t>Feed seller</t>
  </si>
  <si>
    <t xml:space="preserve">Sets </t>
  </si>
  <si>
    <t>Litterature-online data</t>
  </si>
  <si>
    <t>Survey data</t>
  </si>
  <si>
    <t>Expert data</t>
  </si>
  <si>
    <t>Calibration - modeling</t>
  </si>
  <si>
    <t>Value of GHG/kg of product</t>
  </si>
  <si>
    <t>Value of distance Number of km</t>
  </si>
  <si>
    <t>fert</t>
  </si>
  <si>
    <t>seed</t>
  </si>
  <si>
    <t>eps</t>
  </si>
  <si>
    <t>wheat_c</t>
  </si>
  <si>
    <t>maize_c</t>
  </si>
  <si>
    <t>clover_c</t>
  </si>
  <si>
    <t>sorghum_c</t>
  </si>
  <si>
    <t>sugarcane_c</t>
  </si>
  <si>
    <t>imp_wheat</t>
  </si>
  <si>
    <t>imp_maize</t>
  </si>
  <si>
    <t>good_wheat</t>
  </si>
  <si>
    <t>good_maize</t>
  </si>
  <si>
    <t>good_clover</t>
  </si>
  <si>
    <t>good_sorghum</t>
  </si>
  <si>
    <t>good_sugar</t>
  </si>
  <si>
    <t>wheat</t>
  </si>
  <si>
    <t>maize</t>
  </si>
  <si>
    <t>clover</t>
  </si>
  <si>
    <t>sorghum</t>
  </si>
  <si>
    <t>sugarcane</t>
  </si>
  <si>
    <t>EPS</t>
  </si>
  <si>
    <t>y39</t>
  </si>
  <si>
    <t>y38</t>
  </si>
  <si>
    <t>y37</t>
  </si>
  <si>
    <t>y36</t>
  </si>
  <si>
    <t>y35</t>
  </si>
  <si>
    <t>y34</t>
  </si>
  <si>
    <t>y33</t>
  </si>
  <si>
    <t>y32</t>
  </si>
  <si>
    <t>y31</t>
  </si>
  <si>
    <t>y30</t>
  </si>
  <si>
    <t>y29</t>
  </si>
  <si>
    <t>y28</t>
  </si>
  <si>
    <t>y27</t>
  </si>
  <si>
    <t>y26</t>
  </si>
  <si>
    <t>y25</t>
  </si>
  <si>
    <t>y24</t>
  </si>
  <si>
    <t>y23</t>
  </si>
  <si>
    <t>y22</t>
  </si>
  <si>
    <t>y21</t>
  </si>
  <si>
    <t>y20</t>
  </si>
  <si>
    <t>y19</t>
  </si>
  <si>
    <t>y18</t>
  </si>
  <si>
    <t>y17</t>
  </si>
  <si>
    <t>y16</t>
  </si>
  <si>
    <t>y15</t>
  </si>
  <si>
    <t>y14</t>
  </si>
  <si>
    <t>y13</t>
  </si>
  <si>
    <t>y12</t>
  </si>
  <si>
    <t>y11</t>
  </si>
  <si>
    <t>y10</t>
  </si>
  <si>
    <t>y09</t>
  </si>
  <si>
    <t>y08</t>
  </si>
  <si>
    <t>y07</t>
  </si>
  <si>
    <t>y06</t>
  </si>
  <si>
    <t>y05</t>
  </si>
  <si>
    <t>y04</t>
  </si>
  <si>
    <t>y03</t>
  </si>
  <si>
    <t>y02</t>
  </si>
  <si>
    <t>y01</t>
  </si>
  <si>
    <t>M07</t>
  </si>
  <si>
    <t>Harvest</t>
  </si>
  <si>
    <t>M06</t>
  </si>
  <si>
    <t>Insecticide</t>
  </si>
  <si>
    <t>Fertilizer</t>
  </si>
  <si>
    <t>M05</t>
  </si>
  <si>
    <t>M04</t>
  </si>
  <si>
    <t>Weeding</t>
  </si>
  <si>
    <t>Herbicide</t>
  </si>
  <si>
    <t>Planting</t>
  </si>
  <si>
    <t>M12</t>
  </si>
  <si>
    <t>M11</t>
  </si>
  <si>
    <t>M03</t>
  </si>
  <si>
    <t>M02</t>
  </si>
  <si>
    <t>M01</t>
  </si>
  <si>
    <t>Fungicide</t>
  </si>
  <si>
    <t>Irrigation</t>
  </si>
  <si>
    <t>M10</t>
  </si>
  <si>
    <t>Seeding</t>
  </si>
  <si>
    <t>M09</t>
  </si>
  <si>
    <t>M08</t>
  </si>
  <si>
    <t>no_plant</t>
  </si>
  <si>
    <t>goatmilk</t>
  </si>
  <si>
    <t>cattlemilk</t>
  </si>
  <si>
    <t>cattle_milk</t>
  </si>
  <si>
    <t>egg</t>
  </si>
  <si>
    <t>m12</t>
  </si>
  <si>
    <t>sheep_meat</t>
  </si>
  <si>
    <t>m11</t>
  </si>
  <si>
    <t>m10</t>
  </si>
  <si>
    <t>cattlemeat</t>
  </si>
  <si>
    <t>cattle_meat</t>
  </si>
  <si>
    <t>milk</t>
  </si>
  <si>
    <t>m09</t>
  </si>
  <si>
    <t>m08</t>
  </si>
  <si>
    <t>harvest</t>
  </si>
  <si>
    <t>m07</t>
  </si>
  <si>
    <t>pesticide</t>
  </si>
  <si>
    <t>m06</t>
  </si>
  <si>
    <t>org_fert</t>
  </si>
  <si>
    <t>inc_offfarm</t>
  </si>
  <si>
    <t>m05</t>
  </si>
  <si>
    <t>maize_straw</t>
  </si>
  <si>
    <t>che_fert</t>
  </si>
  <si>
    <t>lab_total</t>
  </si>
  <si>
    <t>seedTotal</t>
  </si>
  <si>
    <t>m04</t>
  </si>
  <si>
    <t>herbicide</t>
  </si>
  <si>
    <t>total</t>
  </si>
  <si>
    <t>lab_family</t>
  </si>
  <si>
    <t>seedPurch</t>
  </si>
  <si>
    <t>labor</t>
  </si>
  <si>
    <t>int_3</t>
  </si>
  <si>
    <t>field3</t>
  </si>
  <si>
    <t>m03</t>
  </si>
  <si>
    <t>wheat_straw</t>
  </si>
  <si>
    <t>weeding</t>
  </si>
  <si>
    <t>female</t>
  </si>
  <si>
    <t>hired</t>
  </si>
  <si>
    <t>farm_size</t>
  </si>
  <si>
    <t>seedExch</t>
  </si>
  <si>
    <t>int_2</t>
  </si>
  <si>
    <t>field2</t>
  </si>
  <si>
    <t>m02</t>
  </si>
  <si>
    <t>planting</t>
  </si>
  <si>
    <t>male</t>
  </si>
  <si>
    <t>family</t>
  </si>
  <si>
    <t>hh_size</t>
  </si>
  <si>
    <t>Luxor</t>
  </si>
  <si>
    <t>seedOnfarm</t>
  </si>
  <si>
    <t>int_1</t>
  </si>
  <si>
    <t>field1</t>
  </si>
  <si>
    <t>m01</t>
  </si>
  <si>
    <t>month</t>
  </si>
  <si>
    <t>task</t>
  </si>
  <si>
    <t>current crop</t>
  </si>
  <si>
    <t>previous crop</t>
  </si>
  <si>
    <t>good</t>
  </si>
  <si>
    <t>output</t>
  </si>
  <si>
    <t>activity</t>
  </si>
  <si>
    <t>Set of labor type</t>
  </si>
  <si>
    <t>Set of labor class</t>
  </si>
  <si>
    <t>Set for household variable</t>
  </si>
  <si>
    <t>Set for the household</t>
  </si>
  <si>
    <t>Set of the name of case study</t>
  </si>
  <si>
    <t>Set for seed management</t>
  </si>
  <si>
    <t>Set of goods</t>
  </si>
  <si>
    <t>Set of co product</t>
  </si>
  <si>
    <t>Set of product</t>
  </si>
  <si>
    <t>Set of input value</t>
  </si>
  <si>
    <t>Set of input quantity</t>
  </si>
  <si>
    <t>Set of intensity</t>
  </si>
  <si>
    <t>Set of field</t>
  </si>
  <si>
    <t>Set of variety</t>
  </si>
  <si>
    <t>Set of months</t>
  </si>
  <si>
    <t>Set of years</t>
  </si>
  <si>
    <t>Labor tasks by month</t>
  </si>
  <si>
    <t>Mapping rotation</t>
  </si>
  <si>
    <t>Mapping output-goods</t>
  </si>
  <si>
    <t>Mapping activity-output</t>
  </si>
  <si>
    <t>Labor type</t>
  </si>
  <si>
    <t>Labor class</t>
  </si>
  <si>
    <t>Household definition variables</t>
  </si>
  <si>
    <t>Household types</t>
  </si>
  <si>
    <t>Regions</t>
  </si>
  <si>
    <t>Seed use sources</t>
  </si>
  <si>
    <t>Consumption goods</t>
  </si>
  <si>
    <t>Outputs (co-products)</t>
  </si>
  <si>
    <t>Outputs (main products)</t>
  </si>
  <si>
    <t>Inputs value</t>
  </si>
  <si>
    <t>Inputs quantity</t>
  </si>
  <si>
    <t>Intensity level</t>
  </si>
  <si>
    <t>Field</t>
  </si>
  <si>
    <t>Crops</t>
  </si>
  <si>
    <t>Months</t>
  </si>
  <si>
    <t>Years</t>
  </si>
  <si>
    <t>p_phi</t>
  </si>
  <si>
    <t>dr</t>
  </si>
  <si>
    <t>distance_km</t>
  </si>
  <si>
    <t>hh_4</t>
  </si>
  <si>
    <t>hh_3</t>
  </si>
  <si>
    <t>p_good_price</t>
  </si>
  <si>
    <t>hh</t>
  </si>
  <si>
    <t>pseed_localCurrency_kg</t>
  </si>
  <si>
    <t>crop_activity</t>
  </si>
  <si>
    <t>selprice</t>
  </si>
  <si>
    <t>buyprice</t>
  </si>
  <si>
    <t xml:space="preserve">exhange rate </t>
  </si>
  <si>
    <t>Price of good in local currency</t>
  </si>
  <si>
    <t>Good</t>
  </si>
  <si>
    <t>Seed Price (localCurrency/kg)</t>
  </si>
  <si>
    <t>Crop activity</t>
  </si>
  <si>
    <t>Selling price of crop (localCurrency/kg)</t>
  </si>
  <si>
    <t>Buying price of crop (localCurrency/kg)</t>
  </si>
  <si>
    <t>local Currency</t>
  </si>
  <si>
    <t>USD</t>
  </si>
  <si>
    <t>Good price</t>
  </si>
  <si>
    <t>Crop activity price</t>
  </si>
  <si>
    <t>Inout price</t>
  </si>
  <si>
    <t>Exchange rate</t>
  </si>
  <si>
    <t>p_Hini_raw</t>
  </si>
  <si>
    <t>p_nfert_max_annual_raw</t>
  </si>
  <si>
    <t>p_Nl_raw</t>
  </si>
  <si>
    <t>p_Mscomp_raw</t>
  </si>
  <si>
    <t>p_Qcomp_raw</t>
  </si>
  <si>
    <t>p_Norg_raw</t>
  </si>
  <si>
    <t>p_Nini_raw</t>
  </si>
  <si>
    <t>p_effr</t>
  </si>
  <si>
    <t>p_MSres</t>
  </si>
  <si>
    <t>prof</t>
  </si>
  <si>
    <t>da</t>
  </si>
  <si>
    <t>K3</t>
  </si>
  <si>
    <t>p_Nres</t>
  </si>
  <si>
    <t>K2</t>
  </si>
  <si>
    <t>field</t>
  </si>
  <si>
    <t>K1</t>
  </si>
  <si>
    <t>act</t>
  </si>
  <si>
    <t>Initial amount of humus in the field during the 1st year</t>
  </si>
  <si>
    <t>Maximum quantity of fertilizer that can be use per field</t>
  </si>
  <si>
    <t>Quantity of fertilizer that leached</t>
  </si>
  <si>
    <t>Share of dry matter in compost</t>
  </si>
  <si>
    <t>Fixed quantity of compost used each year (kg)</t>
  </si>
  <si>
    <t>Organic fertilization for first year</t>
  </si>
  <si>
    <t>Nitrogen already in the field during the 1st year</t>
  </si>
  <si>
    <t>Share of nitrogen in the kg of dry matter of each product</t>
  </si>
  <si>
    <t>Share of dry matter in raw residue</t>
  </si>
  <si>
    <t>Depth of soil</t>
  </si>
  <si>
    <t>https://soilgrids.org/</t>
  </si>
  <si>
    <t>Initial humus quantity</t>
  </si>
  <si>
    <t>Maximum amount of fertilizer</t>
  </si>
  <si>
    <t>N leaching</t>
  </si>
  <si>
    <t>Dry matter from compost</t>
  </si>
  <si>
    <t>Quantity of compost</t>
  </si>
  <si>
    <t>N from organic fertilization</t>
  </si>
  <si>
    <t>Initial amount of nitrogen in soil</t>
  </si>
  <si>
    <t>Nitrate by kg of dry matter of biomass</t>
  </si>
  <si>
    <t>Dry matter from Qres</t>
  </si>
  <si>
    <t>Prof</t>
  </si>
  <si>
    <t>Soil bulk density</t>
  </si>
  <si>
    <t xml:space="preserve">K3 coefficient
Compost coefficient [0.01 ;0.2]  </t>
  </si>
  <si>
    <t>Total initial amount of residue for mulching</t>
  </si>
  <si>
    <t>K2 coefficient
mineralization coefficient [0,01 ; 0,03]</t>
  </si>
  <si>
    <t>K1 Nitrogen requirement per kg of grain yield</t>
  </si>
  <si>
    <t>dry_matter</t>
  </si>
  <si>
    <t>protein</t>
  </si>
  <si>
    <t>gross_energy</t>
  </si>
  <si>
    <t>yield</t>
  </si>
  <si>
    <t>age</t>
  </si>
  <si>
    <t>p_feed_price</t>
  </si>
  <si>
    <t>price in TND</t>
  </si>
  <si>
    <t>product</t>
  </si>
  <si>
    <t>Type_animal</t>
  </si>
  <si>
    <t>p_AdditionalCostLivestock</t>
  </si>
  <si>
    <t>p_costVeterinary</t>
  </si>
  <si>
    <t>p_othCostLivestock</t>
  </si>
  <si>
    <t>p_initPopulation</t>
  </si>
  <si>
    <t>p_ca</t>
  </si>
  <si>
    <t>p_prot_metab</t>
  </si>
  <si>
    <t>p_LaborReq</t>
  </si>
  <si>
    <t>p_MortalityRate</t>
  </si>
  <si>
    <t>p_BirthRate</t>
  </si>
  <si>
    <t>Type of feed</t>
  </si>
  <si>
    <t>Type of animal</t>
  </si>
  <si>
    <t>Quantity dry matter per animal per year</t>
  </si>
  <si>
    <t>Quantity of protein per heads per year</t>
  </si>
  <si>
    <t>Quantity of calories per head per year</t>
  </si>
  <si>
    <t>Quantity of output kg per head</t>
  </si>
  <si>
    <t>age of the animal</t>
  </si>
  <si>
    <t>Output of the animal</t>
  </si>
  <si>
    <t>Feed price</t>
  </si>
  <si>
    <t>Price per kg of output</t>
  </si>
  <si>
    <t>Output of the animal in kg</t>
  </si>
  <si>
    <t>Yearly additional cost linked to livestock</t>
  </si>
  <si>
    <t>Yearly cost per veterinary</t>
  </si>
  <si>
    <t>Yearly other variable cost</t>
  </si>
  <si>
    <t>Initial population of animal</t>
  </si>
  <si>
    <t>coefficient of activity parameter</t>
  </si>
  <si>
    <t>Protein metabolism parameter</t>
  </si>
  <si>
    <t>Quantity of day of labor per animal per year</t>
  </si>
  <si>
    <t xml:space="preserve">Annual mortality rate </t>
  </si>
  <si>
    <t xml:space="preserve">Birthrate number </t>
  </si>
  <si>
    <t>p_protein_feed</t>
  </si>
  <si>
    <t>p_drymatter_feed</t>
  </si>
  <si>
    <t>p_grossenergy_feed</t>
  </si>
  <si>
    <t>Age</t>
  </si>
  <si>
    <t>akmilk</t>
  </si>
  <si>
    <t>akmeat</t>
  </si>
  <si>
    <t>ak</t>
  </si>
  <si>
    <t xml:space="preserve">https://www.feedipedia.org/ </t>
  </si>
  <si>
    <t>% of protein in feed</t>
  </si>
  <si>
    <t>https://www.feedipedia.org/</t>
  </si>
  <si>
    <t>% of dry matter in feed</t>
  </si>
  <si>
    <t>MJ/kg in kg</t>
  </si>
  <si>
    <t>Mapping feed type of animal</t>
  </si>
  <si>
    <t>Minimum require of food</t>
  </si>
  <si>
    <t>Livestock yield of inputs and outputs</t>
  </si>
  <si>
    <t>Livestock price of inputs and outputs</t>
  </si>
  <si>
    <t>Livestock data</t>
  </si>
  <si>
    <t>Protein content of feed</t>
  </si>
  <si>
    <t>Dry matter content of feed</t>
  </si>
  <si>
    <t>Gross energy content of feed</t>
  </si>
  <si>
    <t>Feed use sources</t>
  </si>
  <si>
    <t>Age possible</t>
  </si>
  <si>
    <t>Livestock types</t>
  </si>
  <si>
    <t>Milk product</t>
  </si>
  <si>
    <t>Meat product</t>
  </si>
  <si>
    <t>Animal product</t>
  </si>
  <si>
    <t>p_workTimeMax</t>
  </si>
  <si>
    <t>average</t>
  </si>
  <si>
    <t>p_MaxHiredLabor</t>
  </si>
  <si>
    <t>Average consumption of goods per person per kg</t>
  </si>
  <si>
    <t>Off farm income</t>
  </si>
  <si>
    <t>Number of people of the household</t>
  </si>
  <si>
    <t>Consumption data</t>
  </si>
  <si>
    <t>Boundaries of labor</t>
  </si>
  <si>
    <t>Household data</t>
  </si>
  <si>
    <t>com_f_persday_ha</t>
  </si>
  <si>
    <t>com_m_persday_ha</t>
  </si>
  <si>
    <t>fam_f_persday_ha</t>
  </si>
  <si>
    <t>fam_m_persday_ha</t>
  </si>
  <si>
    <t>Communal Female Labour use (person-days/ha)</t>
  </si>
  <si>
    <t>Communal Male Labour use (person-days/ha)</t>
  </si>
  <si>
    <t>Family Female Labour use (person-days/ha)</t>
  </si>
  <si>
    <t>Family Male Labour use (person-days/ha)</t>
  </si>
  <si>
    <t>ploss</t>
  </si>
  <si>
    <t>Supply of non hired labor</t>
  </si>
  <si>
    <t>Farm loss by output</t>
  </si>
  <si>
    <t>p_feed_energy</t>
  </si>
  <si>
    <t>energy</t>
  </si>
  <si>
    <t>irrigation</t>
  </si>
  <si>
    <t>plants</t>
  </si>
  <si>
    <t>phytosanitary</t>
  </si>
  <si>
    <t>fertilizer</t>
  </si>
  <si>
    <t>prun_MJ_ha</t>
  </si>
  <si>
    <t>grubb_MJ_ha</t>
  </si>
  <si>
    <t>harv_MJ_ha</t>
  </si>
  <si>
    <t>pest_MJ_ha</t>
  </si>
  <si>
    <t>orgfer_MJ_ha</t>
  </si>
  <si>
    <t>chemfer_MJ_ha</t>
  </si>
  <si>
    <t>weed_MJ_ha</t>
  </si>
  <si>
    <t>plant_MJ_ha</t>
  </si>
  <si>
    <t>inten</t>
  </si>
  <si>
    <t>tree _activity</t>
  </si>
  <si>
    <t>seeds</t>
  </si>
  <si>
    <t>herb_MJ_ha</t>
  </si>
  <si>
    <t>Energy per head of animal MJ/head</t>
  </si>
  <si>
    <t>MJ/m3</t>
  </si>
  <si>
    <t>MJ/kg of plants</t>
  </si>
  <si>
    <t>MJ/€ of phytosanitary</t>
  </si>
  <si>
    <t>MJ/kg of nitrogen</t>
  </si>
  <si>
    <t>Energy for pruning</t>
  </si>
  <si>
    <t>Energy for grubbing</t>
  </si>
  <si>
    <t xml:space="preserve">Energy for harvesting </t>
  </si>
  <si>
    <t>Energy for pesticide</t>
  </si>
  <si>
    <t>Energy for organic fertil</t>
  </si>
  <si>
    <t>Energy for chemical fertil</t>
  </si>
  <si>
    <t>Weeding task</t>
  </si>
  <si>
    <t>Planting activity</t>
  </si>
  <si>
    <t>Intensity</t>
  </si>
  <si>
    <t>Tree variety</t>
  </si>
  <si>
    <t>MJ/kg of seeds</t>
  </si>
  <si>
    <t>harvest_MJ_ha</t>
  </si>
  <si>
    <t>pesticide_MJ_ha</t>
  </si>
  <si>
    <t>organic_fert_MJ_ha</t>
  </si>
  <si>
    <t>chemical_fer_MJ_ha</t>
  </si>
  <si>
    <t>herbicide_MJ_ha</t>
  </si>
  <si>
    <t>weeding_MJ_ha</t>
  </si>
  <si>
    <t>planting _MJ_ha</t>
  </si>
  <si>
    <t>level intensification</t>
  </si>
  <si>
    <t>Sum of Machinery + Diesel + Electricity</t>
  </si>
  <si>
    <t>Feed livestock energy</t>
  </si>
  <si>
    <t>Energy coefficient for crop</t>
  </si>
  <si>
    <t>Energy for agroforestry</t>
  </si>
  <si>
    <t>Require energy by task for tree activity</t>
  </si>
  <si>
    <t>harv_persday_ha</t>
  </si>
  <si>
    <t>pest_persday_ha</t>
  </si>
  <si>
    <t>orgfer_persday_ha</t>
  </si>
  <si>
    <t>chemfer_persday_ha</t>
  </si>
  <si>
    <t>herb_persday_ha</t>
  </si>
  <si>
    <t>weed_persday_ha</t>
  </si>
  <si>
    <t>plant_persday_ha</t>
  </si>
  <si>
    <t>seeds_onFarm_ha</t>
  </si>
  <si>
    <t>area_ha</t>
  </si>
  <si>
    <t>phyto_localCurrency_ha</t>
  </si>
  <si>
    <t>ystraw_kg_ha</t>
  </si>
  <si>
    <t>yield_kg_ha</t>
  </si>
  <si>
    <t>seeds_kg_ha</t>
  </si>
  <si>
    <t>nitr_kg_ha</t>
  </si>
  <si>
    <t>other_localCurrency_ha</t>
  </si>
  <si>
    <t>straw</t>
  </si>
  <si>
    <t>value</t>
  </si>
  <si>
    <t>harvest_personday_ha</t>
  </si>
  <si>
    <t>pesticide_personday_ha</t>
  </si>
  <si>
    <t>organic_fert_personday_ha</t>
  </si>
  <si>
    <t>chemical_fer_personday_ha</t>
  </si>
  <si>
    <t>herbicide_personday_ha</t>
  </si>
  <si>
    <t>weeding_personday_ha</t>
  </si>
  <si>
    <t>planting _personday_ha</t>
  </si>
  <si>
    <t>Stock of seed in the farm</t>
  </si>
  <si>
    <t>Area (ha)</t>
  </si>
  <si>
    <t>Cost of phyto use by ha</t>
  </si>
  <si>
    <t>Yield of co product by crop activity</t>
  </si>
  <si>
    <t>Yield of main product by crop activity</t>
  </si>
  <si>
    <t>Quantity of seed use by ha</t>
  </si>
  <si>
    <t>Quantity of nitrogen use by ha</t>
  </si>
  <si>
    <t>Other cost by crop activity</t>
  </si>
  <si>
    <t>Level of intensification</t>
  </si>
  <si>
    <t>Field number</t>
  </si>
  <si>
    <t>Household type</t>
  </si>
  <si>
    <t>resmulch</t>
  </si>
  <si>
    <t>Value of loss</t>
  </si>
  <si>
    <t>Output</t>
  </si>
  <si>
    <t>Residuedep</t>
  </si>
  <si>
    <t>Require labor by task for tree activity</t>
  </si>
  <si>
    <t>Main crop activity information :</t>
  </si>
  <si>
    <t>Mulching share</t>
  </si>
  <si>
    <t>Crop loss by output</t>
  </si>
  <si>
    <t xml:space="preserve">Feed not wasted </t>
  </si>
  <si>
    <t>Main previous crop</t>
  </si>
  <si>
    <t>p_nitr_calib</t>
  </si>
  <si>
    <t>p_water_calib</t>
  </si>
  <si>
    <t>Influence the p_npot</t>
  </si>
  <si>
    <t>Influence the p_kc</t>
  </si>
  <si>
    <t>Nitrogen calibration</t>
  </si>
  <si>
    <t>Water calibration</t>
  </si>
  <si>
    <t>p_cost_irrigation</t>
  </si>
  <si>
    <t>v0_max_irrigation</t>
  </si>
  <si>
    <t>reg</t>
  </si>
  <si>
    <t>irrigation ini</t>
  </si>
  <si>
    <t>p_swm</t>
  </si>
  <si>
    <t>p_factor</t>
  </si>
  <si>
    <t>p_rdm</t>
  </si>
  <si>
    <t>ym</t>
  </si>
  <si>
    <t>p_kc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</si>
  <si>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</si>
  <si>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</si>
  <si>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</si>
  <si>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</si>
  <si>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</si>
  <si>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</si>
  <si>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</si>
  <si>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</si>
  <si>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</si>
  <si>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</si>
  <si>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</si>
  <si>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</si>
  <si>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p_et0 data</t>
  </si>
  <si>
    <t>rainfall data</t>
  </si>
  <si>
    <t>price of water per cubicmeter</t>
  </si>
  <si>
    <t>https://extension.sdstate.edu/how-soil-holds-water</t>
  </si>
  <si>
    <t>q FC -  q WP 
water content at field capacity [m3 m-3] - water content at wilting point [m3 m-3]</t>
  </si>
  <si>
    <t xml:space="preserve">Depletion Fraction 2 (for ET » 5 mm/day) https://www.fao.org/4/x0490e/x0490e0e.htm#TopOfPage </t>
  </si>
  <si>
    <t xml:space="preserve">Maximum Root Depth 1
(m) https://www.fao.org/4/x0490e/x0490e0e.htm#TopOfPage </t>
  </si>
  <si>
    <t>Yield  https://www.fao.org/4/i2800e/i2800e.pdf</t>
  </si>
  <si>
    <t>Kc mid https://www.fao.org/4/x0490e/x0490e0b.htm#TopOfPage</t>
  </si>
  <si>
    <t>https://cds.climate.copernicus.eu/datasets/projections-cmip6?tab=overview</t>
  </si>
  <si>
    <t>Irrigation key data</t>
  </si>
  <si>
    <t>Initial irrigation quantity (mm)</t>
  </si>
  <si>
    <t>Maximum soil water available</t>
  </si>
  <si>
    <t>Water effect on crop data</t>
  </si>
  <si>
    <t>Reference evapotranspiration data</t>
  </si>
  <si>
    <t>Rain data</t>
  </si>
  <si>
    <t>pruning</t>
  </si>
  <si>
    <t>old</t>
  </si>
  <si>
    <t>grubbingup</t>
  </si>
  <si>
    <t>adult</t>
  </si>
  <si>
    <t>harvesting age</t>
  </si>
  <si>
    <t>young</t>
  </si>
  <si>
    <t>nitr_price_kg</t>
  </si>
  <si>
    <t>old age</t>
  </si>
  <si>
    <t>ageclass</t>
  </si>
  <si>
    <t>tree</t>
  </si>
  <si>
    <t>plants_nb_ha</t>
  </si>
  <si>
    <t>plant_price_nbr</t>
  </si>
  <si>
    <t>life</t>
  </si>
  <si>
    <t>prun_persday_ha</t>
  </si>
  <si>
    <t>grubb_persday_ha</t>
  </si>
  <si>
    <t>Yield of main product by tree activity and age</t>
  </si>
  <si>
    <t>Class of age of tree</t>
  </si>
  <si>
    <t>Tree activity</t>
  </si>
  <si>
    <t>Quantity of plant use by ha</t>
  </si>
  <si>
    <t>Other cost by tree activity</t>
  </si>
  <si>
    <t>share</t>
  </si>
  <si>
    <t>field number</t>
  </si>
  <si>
    <t>Price</t>
  </si>
  <si>
    <t>Task</t>
  </si>
  <si>
    <t>price</t>
  </si>
  <si>
    <t>input</t>
  </si>
  <si>
    <t>Age of the tree</t>
  </si>
  <si>
    <t>Share of the age of tree in the field</t>
  </si>
  <si>
    <t>Name of the field</t>
  </si>
  <si>
    <t>Variety of the tree</t>
  </si>
  <si>
    <t>Price in local currency</t>
  </si>
  <si>
    <t>Farmer task</t>
  </si>
  <si>
    <t xml:space="preserve">Month in which the activity take place </t>
  </si>
  <si>
    <t>The possible task</t>
  </si>
  <si>
    <t>The possible age of tree</t>
  </si>
  <si>
    <t>Name of the input product</t>
  </si>
  <si>
    <t>Class age of the tree</t>
  </si>
  <si>
    <t>Require labor by task</t>
  </si>
  <si>
    <t>Agroforestry yield by field</t>
  </si>
  <si>
    <t>Agroforestry detail data</t>
  </si>
  <si>
    <t>Share of age of tree in each field (v0_Age_AF)</t>
  </si>
  <si>
    <t>Fix cost of task</t>
  </si>
  <si>
    <t>Mapping of task by months for agroforestry</t>
  </si>
  <si>
    <t>List of task</t>
  </si>
  <si>
    <t>Possible age of tree</t>
  </si>
  <si>
    <t>Buyprice of tree product</t>
  </si>
  <si>
    <t>Limits of age by class age</t>
  </si>
  <si>
    <t>Buffer</t>
  </si>
  <si>
    <t>Maximum concentration nitrogen in water</t>
  </si>
  <si>
    <t>Initial concentration of nitrogen in water</t>
  </si>
  <si>
    <t>nitr concentration in kg/m3</t>
  </si>
  <si>
    <t>Information for grey water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</si>
  <si>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</si>
  <si>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</si>
  <si>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</si>
  <si>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</si>
  <si>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</si>
  <si>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</si>
  <si>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</si>
  <si>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</si>
  <si>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</si>
  <si>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</si>
  <si>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</si>
  <si>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</si>
  <si>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</si>
  <si>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</si>
  <si>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</si>
  <si>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</si>
  <si>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</si>
  <si>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</si>
  <si>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</si>
  <si>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</si>
  <si>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</si>
  <si>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</si>
  <si>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</si>
  <si>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</si>
  <si>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</si>
  <si>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</si>
  <si>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</si>
  <si>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</si>
  <si>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</si>
  <si>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</si>
  <si>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</si>
  <si>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</si>
  <si>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</si>
  <si>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</si>
  <si>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</si>
  <si>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MJ/currency of phytosanitary</t>
  </si>
  <si>
    <t>MJ/mm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</si>
</sst>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10"/>
      <name val="Arial"/>
      <family val="2"/>
    </font>
    <font>
      <sz val="8"/>
      <name val="Courier New"/>
      <family val="3"/>
    </font>
    <font>
      <sz val="10"/>
      <color rgb="FF000000"/>
      <name val="Arial"/>
      <family val="2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2"/>
      <color indexed="0"/>
      <name val="Arial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name val="Consolas"/>
      <family val="3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sz val="11"/>
      <color theme="1"/>
      <name val="Segoe UI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Consolas"/>
      <family val="3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Consolas"/>
      <family val="3"/>
    </font>
    <font>
      <b/>
      <sz val="12"/>
      <name val="Aptos Narrow"/>
      <family val="2"/>
      <scheme val="minor"/>
    </font>
    <font>
      <b/>
      <sz val="12"/>
      <name val="Consolas"/>
      <family val="3"/>
    </font>
    <font>
      <sz val="12"/>
      <name val="Consolas"/>
      <family val="3"/>
    </font>
    <font>
      <sz val="10"/>
      <color theme="1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3">
    <xf numFmtId="0" fontId="0" fillId="0" borderId="0"/>
    <xf numFmtId="0" fontId="2" fillId="0" borderId="0"/>
    <xf numFmtId="9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/>
    <xf numFmtId="164" fontId="11" fillId="0" borderId="0" applyFont="0" applyFill="0" applyBorder="0" applyAlignment="0" applyProtection="0"/>
    <xf numFmtId="0" fontId="16" fillId="0" borderId="0" applyNumberFormat="0" applyFill="0" applyBorder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7" fillId="0" borderId="0" applyNumberFormat="0" applyBorder="0" applyProtection="0"/>
    <xf numFmtId="0" fontId="11" fillId="0" borderId="0"/>
    <xf numFmtId="0" fontId="11" fillId="0" borderId="0"/>
    <xf numFmtId="0" fontId="11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8" fillId="0" borderId="0"/>
    <xf numFmtId="164" fontId="2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1" fillId="0" borderId="0">
      <alignment vertical="top"/>
      <protection locked="0"/>
    </xf>
    <xf numFmtId="0" fontId="22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471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4" fillId="0" borderId="1" xfId="0" applyFont="1" applyFill="1" applyBorder="1"/>
    <xf numFmtId="0" fontId="4" fillId="0" borderId="5" xfId="0" applyFont="1" applyFill="1" applyBorder="1"/>
    <xf numFmtId="0" fontId="4" fillId="0" borderId="0" xfId="0" applyFont="1" applyBorder="1"/>
    <xf numFmtId="0" fontId="4" fillId="0" borderId="1" xfId="0" applyFont="1" applyBorder="1"/>
    <xf numFmtId="0" fontId="6" fillId="2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Border="1"/>
    <xf numFmtId="0" fontId="0" fillId="2" borderId="0" xfId="0" applyFill="1" applyBorder="1"/>
    <xf numFmtId="0" fontId="4" fillId="4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0" fillId="0" borderId="6" xfId="0" applyFill="1" applyBorder="1"/>
    <xf numFmtId="0" fontId="7" fillId="4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top"/>
    </xf>
    <xf numFmtId="0" fontId="1" fillId="0" borderId="0" xfId="0" applyFont="1" applyBorder="1"/>
    <xf numFmtId="0" fontId="0" fillId="2" borderId="0" xfId="0" applyFill="1" applyBorder="1" applyAlignment="1">
      <alignment vertical="top"/>
    </xf>
    <xf numFmtId="0" fontId="4" fillId="0" borderId="0" xfId="0" applyFont="1" applyBorder="1" applyAlignment="1">
      <alignment horizontal="left" vertical="top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0" borderId="6" xfId="0" applyBorder="1"/>
    <xf numFmtId="0" fontId="4" fillId="0" borderId="6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2" fontId="12" fillId="0" borderId="0" xfId="3" quotePrefix="1" applyNumberFormat="1" applyBorder="1" applyAlignment="1">
      <alignment horizontal="center"/>
    </xf>
    <xf numFmtId="0" fontId="12" fillId="0" borderId="0" xfId="3" applyNumberFormat="1" applyFont="1" applyFill="1" applyBorder="1" applyAlignment="1">
      <alignment horizontal="center"/>
    </xf>
    <xf numFmtId="2" fontId="12" fillId="0" borderId="0" xfId="3" quotePrefix="1" applyNumberFormat="1" applyFont="1" applyBorder="1" applyAlignment="1">
      <alignment horizontal="center"/>
    </xf>
    <xf numFmtId="16" fontId="12" fillId="4" borderId="5" xfId="3" applyNumberFormat="1" applyFont="1" applyFill="1" applyBorder="1" applyAlignment="1">
      <alignment horizontal="center"/>
    </xf>
    <xf numFmtId="2" fontId="12" fillId="2" borderId="0" xfId="3" quotePrefix="1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2" fillId="4" borderId="5" xfId="3" applyNumberFormat="1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2" fillId="0" borderId="0" xfId="3" applyNumberFormat="1" applyFont="1" applyFill="1" applyBorder="1" applyAlignment="1">
      <alignment horizontal="left"/>
    </xf>
    <xf numFmtId="2" fontId="12" fillId="0" borderId="0" xfId="3" quotePrefix="1" applyNumberFormat="1" applyAlignment="1">
      <alignment horizontal="left"/>
    </xf>
    <xf numFmtId="0" fontId="13" fillId="8" borderId="0" xfId="0" applyFont="1" applyFill="1" applyAlignment="1">
      <alignment horizontal="center" vertical="center" wrapText="1"/>
    </xf>
    <xf numFmtId="2" fontId="12" fillId="8" borderId="0" xfId="3" quotePrefix="1" applyNumberFormat="1" applyFill="1" applyAlignment="1">
      <alignment horizontal="left"/>
    </xf>
    <xf numFmtId="16" fontId="12" fillId="0" borderId="0" xfId="3" applyNumberFormat="1" applyFont="1" applyFill="1" applyBorder="1" applyAlignment="1">
      <alignment horizontal="left"/>
    </xf>
    <xf numFmtId="2" fontId="12" fillId="0" borderId="0" xfId="3" quotePrefix="1" applyNumberFormat="1" applyFont="1" applyAlignment="1">
      <alignment horizontal="left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5" fillId="2" borderId="5" xfId="3" applyNumberFormat="1" applyFont="1" applyFill="1" applyBorder="1" applyAlignment="1">
      <alignment horizontal="center" vertical="center" wrapText="1"/>
    </xf>
    <xf numFmtId="0" fontId="15" fillId="2" borderId="0" xfId="3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2" fillId="0" borderId="5" xfId="3" applyNumberFormat="1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0" fillId="0" borderId="0" xfId="0"/>
    <xf numFmtId="0" fontId="7" fillId="5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2" fontId="8" fillId="2" borderId="5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4" borderId="0" xfId="0" applyFill="1"/>
    <xf numFmtId="0" fontId="4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4" fillId="0" borderId="6" xfId="0" applyFont="1" applyBorder="1"/>
    <xf numFmtId="0" fontId="4" fillId="0" borderId="5" xfId="0" applyFont="1" applyBorder="1"/>
    <xf numFmtId="0" fontId="4" fillId="0" borderId="6" xfId="0" applyFont="1" applyBorder="1" applyAlignment="1">
      <alignment horizontal="center"/>
    </xf>
    <xf numFmtId="0" fontId="4" fillId="3" borderId="5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2" fontId="9" fillId="9" borderId="0" xfId="3" quotePrefix="1" applyNumberFormat="1" applyFont="1" applyFill="1" applyAlignment="1">
      <alignment horizontal="left"/>
    </xf>
    <xf numFmtId="0" fontId="0" fillId="3" borderId="0" xfId="0" applyFill="1"/>
    <xf numFmtId="0" fontId="4" fillId="5" borderId="0" xfId="0" applyFont="1" applyFill="1"/>
    <xf numFmtId="0" fontId="4" fillId="2" borderId="0" xfId="0" applyFont="1" applyFill="1"/>
    <xf numFmtId="0" fontId="23" fillId="0" borderId="5" xfId="0" applyFont="1" applyBorder="1" applyAlignment="1">
      <alignment vertical="center"/>
    </xf>
    <xf numFmtId="0" fontId="4" fillId="5" borderId="5" xfId="0" applyFont="1" applyFill="1" applyBorder="1"/>
    <xf numFmtId="0" fontId="23" fillId="2" borderId="1" xfId="0" applyFont="1" applyFill="1" applyBorder="1" applyAlignment="1">
      <alignment vertical="center"/>
    </xf>
    <xf numFmtId="0" fontId="4" fillId="5" borderId="12" xfId="0" applyFont="1" applyFill="1" applyBorder="1"/>
    <xf numFmtId="0" fontId="4" fillId="3" borderId="12" xfId="0" applyFont="1" applyFill="1" applyBorder="1"/>
    <xf numFmtId="0" fontId="24" fillId="0" borderId="0" xfId="0" applyFont="1" applyAlignment="1">
      <alignment vertical="center"/>
    </xf>
    <xf numFmtId="0" fontId="23" fillId="5" borderId="12" xfId="0" applyFont="1" applyFill="1" applyBorder="1" applyAlignment="1">
      <alignment horizontal="center" vertical="center"/>
    </xf>
    <xf numFmtId="0" fontId="4" fillId="5" borderId="9" xfId="0" applyFont="1" applyFill="1" applyBorder="1"/>
    <xf numFmtId="0" fontId="25" fillId="0" borderId="0" xfId="0" applyFont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22" fillId="0" borderId="6" xfId="3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0" borderId="8" xfId="0" applyBorder="1"/>
    <xf numFmtId="0" fontId="25" fillId="2" borderId="0" xfId="0" applyFont="1" applyFill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2" fillId="0" borderId="5" xfId="3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2" fontId="9" fillId="0" borderId="0" xfId="0" applyNumberFormat="1" applyFont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2" fontId="3" fillId="4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65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 wrapText="1"/>
    </xf>
    <xf numFmtId="165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28" fillId="0" borderId="0" xfId="0" applyFont="1"/>
    <xf numFmtId="2" fontId="26" fillId="2" borderId="5" xfId="0" applyNumberFormat="1" applyFont="1" applyFill="1" applyBorder="1" applyAlignment="1">
      <alignment horizontal="center" vertical="center"/>
    </xf>
    <xf numFmtId="2" fontId="26" fillId="2" borderId="0" xfId="0" applyNumberFormat="1" applyFont="1" applyFill="1" applyAlignment="1">
      <alignment horizontal="center" vertical="center"/>
    </xf>
    <xf numFmtId="2" fontId="26" fillId="2" borderId="1" xfId="0" applyNumberFormat="1" applyFont="1" applyFill="1" applyBorder="1" applyAlignment="1">
      <alignment horizontal="center" vertical="center"/>
    </xf>
    <xf numFmtId="0" fontId="4" fillId="0" borderId="0" xfId="0" quotePrefix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9" fontId="4" fillId="5" borderId="5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right" wrapText="1"/>
    </xf>
    <xf numFmtId="0" fontId="7" fillId="4" borderId="0" xfId="0" applyFont="1" applyFill="1" applyAlignment="1">
      <alignment horizontal="right" wrapText="1"/>
    </xf>
    <xf numFmtId="0" fontId="7" fillId="2" borderId="0" xfId="0" applyFont="1" applyFill="1" applyAlignment="1">
      <alignment wrapText="1"/>
    </xf>
    <xf numFmtId="0" fontId="7" fillId="2" borderId="1" xfId="0" applyFont="1" applyFill="1" applyBorder="1" applyAlignment="1">
      <alignment wrapText="1"/>
    </xf>
    <xf numFmtId="0" fontId="4" fillId="7" borderId="0" xfId="0" applyFont="1" applyFill="1" applyAlignment="1">
      <alignment horizontal="right" wrapText="1"/>
    </xf>
    <xf numFmtId="0" fontId="4" fillId="2" borderId="0" xfId="0" applyFont="1" applyFill="1" applyAlignment="1">
      <alignment wrapText="1"/>
    </xf>
    <xf numFmtId="2" fontId="29" fillId="2" borderId="5" xfId="0" applyNumberFormat="1" applyFont="1" applyFill="1" applyBorder="1" applyAlignment="1">
      <alignment horizontal="center" vertical="center" wrapText="1"/>
    </xf>
    <xf numFmtId="2" fontId="29" fillId="2" borderId="0" xfId="0" applyNumberFormat="1" applyFont="1" applyFill="1" applyAlignment="1">
      <alignment horizontal="center" vertical="center" wrapText="1"/>
    </xf>
    <xf numFmtId="2" fontId="6" fillId="2" borderId="5" xfId="0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2" fontId="0" fillId="0" borderId="5" xfId="0" applyNumberFormat="1" applyBorder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0" fillId="0" borderId="0" xfId="0" applyAlignment="1">
      <alignment horizontal="right"/>
    </xf>
    <xf numFmtId="0" fontId="13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left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6" xfId="0" applyFont="1" applyBorder="1" applyAlignment="1">
      <alignment horizontal="center" vertical="center"/>
    </xf>
    <xf numFmtId="0" fontId="7" fillId="7" borderId="0" xfId="0" applyFont="1" applyFill="1"/>
    <xf numFmtId="9" fontId="0" fillId="0" borderId="8" xfId="2" applyFont="1" applyBorder="1"/>
    <xf numFmtId="0" fontId="29" fillId="2" borderId="0" xfId="4" applyNumberFormat="1" applyFont="1" applyFill="1" applyBorder="1" applyAlignment="1">
      <alignment horizontal="center" vertical="center" wrapText="1"/>
    </xf>
    <xf numFmtId="9" fontId="0" fillId="0" borderId="8" xfId="0" applyNumberFormat="1" applyBorder="1"/>
    <xf numFmtId="0" fontId="29" fillId="2" borderId="0" xfId="0" applyFont="1" applyFill="1" applyAlignment="1">
      <alignment horizontal="center" vertical="center"/>
    </xf>
    <xf numFmtId="9" fontId="7" fillId="5" borderId="12" xfId="2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 wrapText="1"/>
    </xf>
    <xf numFmtId="0" fontId="29" fillId="2" borderId="16" xfId="0" applyFont="1" applyFill="1" applyBorder="1" applyAlignment="1">
      <alignment horizontal="center" vertical="center" wrapText="1"/>
    </xf>
    <xf numFmtId="2" fontId="29" fillId="2" borderId="16" xfId="0" applyNumberFormat="1" applyFont="1" applyFill="1" applyBorder="1" applyAlignment="1">
      <alignment horizontal="center" vertical="center" wrapText="1"/>
    </xf>
    <xf numFmtId="2" fontId="29" fillId="2" borderId="14" xfId="0" applyNumberFormat="1" applyFont="1" applyFill="1" applyBorder="1" applyAlignment="1">
      <alignment horizontal="center" vertical="center" wrapText="1"/>
    </xf>
    <xf numFmtId="0" fontId="29" fillId="2" borderId="15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29" fillId="2" borderId="16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 wrapText="1"/>
    </xf>
    <xf numFmtId="2" fontId="7" fillId="0" borderId="9" xfId="0" applyNumberFormat="1" applyFont="1" applyBorder="1"/>
    <xf numFmtId="2" fontId="7" fillId="0" borderId="10" xfId="0" applyNumberFormat="1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9" xfId="0" applyFont="1" applyBorder="1"/>
    <xf numFmtId="0" fontId="29" fillId="0" borderId="9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1" fillId="0" borderId="0" xfId="0" applyFont="1"/>
    <xf numFmtId="0" fontId="30" fillId="0" borderId="7" xfId="0" applyFont="1" applyBorder="1" applyAlignment="1">
      <alignment horizontal="center" vertical="center"/>
    </xf>
    <xf numFmtId="0" fontId="0" fillId="3" borderId="5" xfId="0" applyFill="1" applyBorder="1"/>
    <xf numFmtId="0" fontId="0" fillId="2" borderId="0" xfId="0" applyFill="1"/>
    <xf numFmtId="0" fontId="32" fillId="2" borderId="1" xfId="0" applyFont="1" applyFill="1" applyBorder="1" applyAlignment="1">
      <alignment horizontal="left" vertical="center" indent="1"/>
    </xf>
    <xf numFmtId="0" fontId="0" fillId="2" borderId="0" xfId="0" applyFill="1" applyAlignment="1">
      <alignment vertical="center"/>
    </xf>
    <xf numFmtId="0" fontId="32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vertical="center"/>
    </xf>
    <xf numFmtId="0" fontId="34" fillId="2" borderId="8" xfId="0" applyFont="1" applyFill="1" applyBorder="1" applyAlignment="1">
      <alignment horizontal="center" vertical="center"/>
    </xf>
    <xf numFmtId="0" fontId="35" fillId="2" borderId="17" xfId="0" applyFont="1" applyFill="1" applyBorder="1" applyAlignment="1">
      <alignment horizontal="center" vertical="center"/>
    </xf>
    <xf numFmtId="0" fontId="12" fillId="0" borderId="5" xfId="0" applyFont="1" applyBorder="1"/>
    <xf numFmtId="0" fontId="32" fillId="0" borderId="1" xfId="0" applyFont="1" applyBorder="1"/>
    <xf numFmtId="0" fontId="1" fillId="2" borderId="0" xfId="0" applyFont="1" applyFill="1"/>
    <xf numFmtId="0" fontId="1" fillId="2" borderId="1" xfId="0" applyFont="1" applyFill="1" applyBorder="1"/>
    <xf numFmtId="0" fontId="0" fillId="3" borderId="5" xfId="0" applyFill="1" applyBorder="1" applyAlignment="1">
      <alignment horizontal="center" vertical="center"/>
    </xf>
    <xf numFmtId="0" fontId="0" fillId="4" borderId="5" xfId="0" applyFill="1" applyBorder="1"/>
    <xf numFmtId="0" fontId="37" fillId="2" borderId="1" xfId="0" applyFont="1" applyFill="1" applyBorder="1" applyAlignment="1">
      <alignment vertical="center"/>
    </xf>
    <xf numFmtId="0" fontId="1" fillId="2" borderId="5" xfId="0" applyFont="1" applyFill="1" applyBorder="1"/>
    <xf numFmtId="0" fontId="38" fillId="2" borderId="5" xfId="0" applyFont="1" applyFill="1" applyBorder="1"/>
    <xf numFmtId="0" fontId="38" fillId="2" borderId="0" xfId="0" applyFont="1" applyFill="1"/>
    <xf numFmtId="0" fontId="39" fillId="2" borderId="0" xfId="0" applyFont="1" applyFill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22" fillId="0" borderId="0" xfId="31" applyAlignment="1">
      <alignment vertical="center" wrapText="1"/>
    </xf>
    <xf numFmtId="0" fontId="22" fillId="0" borderId="5" xfId="31" applyBorder="1" applyAlignment="1">
      <alignment vertical="center" wrapText="1"/>
    </xf>
    <xf numFmtId="0" fontId="32" fillId="0" borderId="1" xfId="0" applyFont="1" applyBorder="1" applyAlignment="1">
      <alignment vertical="center"/>
    </xf>
    <xf numFmtId="0" fontId="22" fillId="0" borderId="0" xfId="31" applyAlignment="1">
      <alignment vertical="center"/>
    </xf>
    <xf numFmtId="0" fontId="0" fillId="6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" fontId="9" fillId="0" borderId="0" xfId="3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4" fillId="9" borderId="0" xfId="0" applyFont="1" applyFill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40" fillId="9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4" fillId="9" borderId="0" xfId="0" applyFont="1" applyFill="1" applyAlignment="1">
      <alignment horizontal="center" vertical="center"/>
    </xf>
    <xf numFmtId="165" fontId="4" fillId="0" borderId="0" xfId="0" applyNumberFormat="1" applyFont="1" applyAlignment="1">
      <alignment horizontal="right" wrapText="1"/>
    </xf>
    <xf numFmtId="0" fontId="4" fillId="9" borderId="0" xfId="0" applyFont="1" applyFill="1" applyAlignment="1">
      <alignment wrapText="1"/>
    </xf>
    <xf numFmtId="0" fontId="4" fillId="9" borderId="0" xfId="0" applyFont="1" applyFill="1"/>
    <xf numFmtId="0" fontId="4" fillId="3" borderId="5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right" wrapText="1"/>
    </xf>
    <xf numFmtId="0" fontId="6" fillId="2" borderId="0" xfId="32" applyNumberFormat="1" applyFont="1" applyFill="1" applyBorder="1" applyAlignment="1">
      <alignment horizontal="center" vertical="center" wrapText="1"/>
    </xf>
    <xf numFmtId="0" fontId="6" fillId="2" borderId="1" xfId="32" applyNumberFormat="1" applyFont="1" applyFill="1" applyBorder="1" applyAlignment="1">
      <alignment horizontal="center" vertical="center" wrapText="1"/>
    </xf>
    <xf numFmtId="0" fontId="8" fillId="2" borderId="0" xfId="3" applyNumberFormat="1" applyFont="1" applyFill="1" applyBorder="1" applyAlignment="1">
      <alignment horizontal="center" vertical="center"/>
    </xf>
    <xf numFmtId="0" fontId="8" fillId="2" borderId="1" xfId="3" applyNumberFormat="1" applyFont="1" applyFill="1" applyBorder="1" applyAlignment="1">
      <alignment horizontal="center" vertical="center"/>
    </xf>
    <xf numFmtId="0" fontId="8" fillId="2" borderId="5" xfId="3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2" fontId="6" fillId="2" borderId="0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wrapText="1"/>
    </xf>
    <xf numFmtId="2" fontId="9" fillId="9" borderId="0" xfId="3" quotePrefix="1" applyNumberFormat="1" applyFont="1" applyFill="1" applyBorder="1" applyAlignment="1">
      <alignment horizontal="left"/>
    </xf>
    <xf numFmtId="0" fontId="4" fillId="9" borderId="0" xfId="0" applyFont="1" applyFill="1" applyBorder="1" applyAlignment="1">
      <alignment wrapText="1"/>
    </xf>
    <xf numFmtId="0" fontId="4" fillId="0" borderId="0" xfId="0" applyFont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6" fillId="1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right" wrapText="1"/>
    </xf>
    <xf numFmtId="0" fontId="4" fillId="0" borderId="5" xfId="0" applyFont="1" applyFill="1" applyBorder="1" applyAlignment="1">
      <alignment horizontal="right" wrapText="1"/>
    </xf>
    <xf numFmtId="0" fontId="6" fillId="0" borderId="0" xfId="0" applyFont="1" applyAlignment="1">
      <alignment wrapText="1"/>
    </xf>
    <xf numFmtId="0" fontId="41" fillId="0" borderId="0" xfId="0" applyFont="1" applyAlignment="1">
      <alignment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/>
    <xf numFmtId="0" fontId="4" fillId="7" borderId="0" xfId="0" applyFont="1" applyFill="1" applyBorder="1" applyAlignment="1">
      <alignment horizontal="right" wrapText="1"/>
    </xf>
    <xf numFmtId="0" fontId="7" fillId="4" borderId="0" xfId="0" applyFont="1" applyFill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0" fillId="7" borderId="0" xfId="0" applyFill="1"/>
    <xf numFmtId="0" fontId="4" fillId="7" borderId="0" xfId="0" applyFont="1" applyFill="1" applyAlignment="1">
      <alignment horizontal="center" wrapText="1"/>
    </xf>
    <xf numFmtId="0" fontId="4" fillId="7" borderId="5" xfId="0" applyFont="1" applyFill="1" applyBorder="1" applyAlignment="1">
      <alignment horizontal="center" wrapText="1"/>
    </xf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6" fillId="2" borderId="0" xfId="0" applyFont="1" applyFill="1" applyBorder="1" applyAlignment="1">
      <alignment vertical="center"/>
    </xf>
    <xf numFmtId="0" fontId="0" fillId="0" borderId="19" xfId="0" applyBorder="1"/>
    <xf numFmtId="0" fontId="6" fillId="2" borderId="19" xfId="0" applyFont="1" applyFill="1" applyBorder="1" applyAlignment="1">
      <alignment horizontal="center" vertical="center" wrapText="1"/>
    </xf>
    <xf numFmtId="0" fontId="6" fillId="2" borderId="19" xfId="0" applyFont="1" applyFill="1" applyBorder="1"/>
    <xf numFmtId="0" fontId="4" fillId="7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0" fontId="4" fillId="0" borderId="19" xfId="0" applyFont="1" applyBorder="1"/>
    <xf numFmtId="0" fontId="6" fillId="2" borderId="19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2" fillId="0" borderId="0" xfId="0" applyFont="1" applyBorder="1"/>
    <xf numFmtId="0" fontId="13" fillId="0" borderId="0" xfId="0" applyFont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1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5" fillId="0" borderId="2" xfId="3" applyNumberFormat="1" applyFont="1" applyFill="1" applyBorder="1" applyAlignment="1">
      <alignment horizontal="center" vertical="center" wrapText="1"/>
    </xf>
    <xf numFmtId="0" fontId="15" fillId="0" borderId="3" xfId="3" applyNumberFormat="1" applyFont="1" applyFill="1" applyBorder="1" applyAlignment="1">
      <alignment horizontal="center" vertical="center" wrapText="1"/>
    </xf>
    <xf numFmtId="0" fontId="15" fillId="0" borderId="4" xfId="3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2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</cellXfs>
  <cellStyles count="33">
    <cellStyle name="Answer Codes" xfId="5" xr:uid="{CDC177B9-7481-476F-B0CF-E80471ED5953}"/>
    <cellStyle name="Comma 2" xfId="26" xr:uid="{82553DE9-96DB-42FE-8142-FF59BD231BA9}"/>
    <cellStyle name="Comma 3" xfId="27" xr:uid="{B51FDE18-0F1B-4272-A7DF-89E810307E63}"/>
    <cellStyle name="Comma 4" xfId="28" xr:uid="{05AA7412-5849-4647-BC20-B0193C7D4EE0}"/>
    <cellStyle name="Comma 4 2" xfId="29" xr:uid="{D04CE300-7823-46A6-AB69-4B3F6E5F4AD9}"/>
    <cellStyle name="Lien hypertexte" xfId="31" builtinId="8"/>
    <cellStyle name="Millares 2" xfId="4" xr:uid="{B6595228-8237-46CA-98C0-8F482F91A751}"/>
    <cellStyle name="Millares 2 2" xfId="32" xr:uid="{381A2735-B25C-4617-9CD4-F05ED9DE8426}"/>
    <cellStyle name="Normal" xfId="0" builtinId="0"/>
    <cellStyle name="Normal 10" xfId="6" xr:uid="{EB99971A-7FC3-436D-A574-FE4FA83A4A40}"/>
    <cellStyle name="Normal 10 2" xfId="7" xr:uid="{C35EA4D9-7699-4A42-A863-520EEAF80825}"/>
    <cellStyle name="Normal 11" xfId="30" xr:uid="{DFA3E07E-F14B-496F-8FCD-CFF647091EC4}"/>
    <cellStyle name="Normal 11 2" xfId="3" xr:uid="{CCBA72A2-42D5-415D-84D4-3DE18AF7E75B}"/>
    <cellStyle name="Normal 2" xfId="8" xr:uid="{5923608E-0C22-4BD5-8F46-556FB18166F6}"/>
    <cellStyle name="Normal 2 2" xfId="9" xr:uid="{07B07814-8439-462A-B1D6-F855B747F970}"/>
    <cellStyle name="Normal 3" xfId="10" xr:uid="{04FF01C0-804F-415C-901C-31895D427396}"/>
    <cellStyle name="Normal 3 2" xfId="11" xr:uid="{C0DE5B1F-E6EB-4B24-A65D-99F1B8076444}"/>
    <cellStyle name="Normal 3 2 2" xfId="12" xr:uid="{8DE78BFC-A078-4946-B85B-6AD581EE463D}"/>
    <cellStyle name="Normal 3 3" xfId="13" xr:uid="{03B5C6EC-CBB7-4D73-9C77-E5FA1A444A39}"/>
    <cellStyle name="Normal 3 3 2" xfId="14" xr:uid="{7887E389-4ECE-4C4F-9D4B-F22774DA0515}"/>
    <cellStyle name="Normal 3 4" xfId="15" xr:uid="{CABB8668-1B82-4A2D-AB02-82EBFC3CF1D9}"/>
    <cellStyle name="Normal 3 5" xfId="16" xr:uid="{E6405FF1-9441-47AD-8CC1-0AECD4901C87}"/>
    <cellStyle name="Normal 4" xfId="17" xr:uid="{A1B7284D-C312-4D4B-9B03-2E3747CFE9AD}"/>
    <cellStyle name="Normal 4 2" xfId="18" xr:uid="{D63D26FB-0BC2-42B2-8005-878C4B3FC2B4}"/>
    <cellStyle name="Normal 4 3" xfId="19" xr:uid="{42AFEB3E-6256-4C1D-B0D6-B96283626503}"/>
    <cellStyle name="Normal 5" xfId="20" xr:uid="{F2C9FEE0-7B6E-4DEA-9BDA-CF0C2CF3B714}"/>
    <cellStyle name="Normal 6" xfId="21" xr:uid="{98E8BF63-A783-4D6B-A2D0-8F1A225C4D39}"/>
    <cellStyle name="Normal 6 2" xfId="22" xr:uid="{11BA580E-EA3A-4682-9C02-AC058396B636}"/>
    <cellStyle name="Normal 7" xfId="23" xr:uid="{C81C068B-DDEE-4553-88F9-6025025EAD80}"/>
    <cellStyle name="Normal 8" xfId="24" xr:uid="{8F30C7BF-C4F4-40B4-B22F-55681ADA1027}"/>
    <cellStyle name="Normal 9" xfId="25" xr:uid="{5E77BE0F-6033-4F2D-9E9C-1C7DEAD13EEC}"/>
    <cellStyle name="Pourcentage" xfId="2" builtinId="5"/>
    <cellStyle name="Standard_Crops" xfId="1" xr:uid="{96537124-E63A-4F53-A38D-FB0CA5C127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oilgrids.org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edipedia.org/" TargetMode="External"/><Relationship Id="rId2" Type="http://schemas.openxmlformats.org/officeDocument/2006/relationships/hyperlink" Target="https://www.feedipedia.org/" TargetMode="External"/><Relationship Id="rId1" Type="http://schemas.openxmlformats.org/officeDocument/2006/relationships/hyperlink" Target="https://www.feedipedia.org/" TargetMode="External"/><Relationship Id="rId4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.bin"/><Relationship Id="rId3" Type="http://schemas.openxmlformats.org/officeDocument/2006/relationships/hyperlink" Target="https://www.fao.org/4/x0490e/x0490e0b.htm" TargetMode="External"/><Relationship Id="rId7" Type="http://schemas.openxmlformats.org/officeDocument/2006/relationships/hyperlink" Target="https://extension.sdstate.edu/how-soil-holds-water" TargetMode="External"/><Relationship Id="rId2" Type="http://schemas.openxmlformats.org/officeDocument/2006/relationships/hyperlink" Target="https://cds.climate.copernicus.eu/datasets/projections-cmip6?tab=overview" TargetMode="External"/><Relationship Id="rId1" Type="http://schemas.openxmlformats.org/officeDocument/2006/relationships/hyperlink" Target="https://cds.climate.copernicus.eu/datasets/projections-cmip6?tab=overview" TargetMode="External"/><Relationship Id="rId6" Type="http://schemas.openxmlformats.org/officeDocument/2006/relationships/hyperlink" Target="https://www.fao.org/4/i2800e/i2800e.pdf" TargetMode="External"/><Relationship Id="rId5" Type="http://schemas.openxmlformats.org/officeDocument/2006/relationships/hyperlink" Target="https://www.fao.org/4/x0490e/x0490e0e.htm" TargetMode="External"/><Relationship Id="rId4" Type="http://schemas.openxmlformats.org/officeDocument/2006/relationships/hyperlink" Target="https://www.fao.org/4/x0490e/x0490e0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B5B9-4695-44AC-980C-F6E526E71210}">
  <dimension ref="A1:Z422"/>
  <sheetViews>
    <sheetView tabSelected="1" topLeftCell="B1" zoomScale="86" workbookViewId="0">
      <selection activeCell="M4" sqref="M4"/>
    </sheetView>
  </sheetViews>
  <sheetFormatPr baseColWidth="10" defaultColWidth="11.5546875" defaultRowHeight="14.4" x14ac:dyDescent="0.3"/>
  <cols>
    <col min="1" max="2" width="15.33203125" style="71" customWidth="1"/>
    <col min="3" max="3" width="13.88671875" style="71" bestFit="1" customWidth="1"/>
    <col min="4" max="5" width="15.33203125" style="71" customWidth="1"/>
    <col min="6" max="7" width="11.5546875" style="71"/>
    <col min="8" max="8" width="10.88671875" style="71" customWidth="1"/>
    <col min="9" max="9" width="17.109375" style="71" customWidth="1"/>
    <col min="10" max="10" width="12.44140625" style="71" customWidth="1"/>
    <col min="11" max="11" width="15.33203125" style="71" customWidth="1"/>
    <col min="12" max="17" width="11.5546875" style="71"/>
    <col min="18" max="18" width="16" style="70" customWidth="1"/>
    <col min="19" max="19" width="21.6640625" style="69" customWidth="1"/>
    <col min="20" max="20" width="11.5546875" style="70"/>
    <col min="21" max="21" width="16.33203125" style="68" customWidth="1"/>
    <col min="22" max="22" width="11.5546875" style="70"/>
    <col min="23" max="23" width="11.5546875" style="69"/>
    <col min="24" max="25" width="11.5546875" style="68"/>
    <col min="26" max="26" width="11.5546875" style="69"/>
    <col min="27" max="16384" width="11.5546875" style="68"/>
  </cols>
  <sheetData>
    <row r="1" spans="1:26" s="115" customFormat="1" ht="43.2" x14ac:dyDescent="0.3">
      <c r="A1" s="116" t="s">
        <v>266</v>
      </c>
      <c r="B1" s="116" t="s">
        <v>265</v>
      </c>
      <c r="C1" s="116" t="s">
        <v>264</v>
      </c>
      <c r="D1" s="116" t="s">
        <v>263</v>
      </c>
      <c r="E1" s="116" t="s">
        <v>262</v>
      </c>
      <c r="F1" s="116" t="s">
        <v>261</v>
      </c>
      <c r="G1" s="116" t="s">
        <v>260</v>
      </c>
      <c r="H1" s="116" t="s">
        <v>259</v>
      </c>
      <c r="I1" s="116" t="s">
        <v>258</v>
      </c>
      <c r="J1" s="116" t="s">
        <v>257</v>
      </c>
      <c r="K1" s="116" t="s">
        <v>256</v>
      </c>
      <c r="L1" s="116" t="s">
        <v>255</v>
      </c>
      <c r="M1" s="116" t="s">
        <v>254</v>
      </c>
      <c r="N1" s="116" t="s">
        <v>253</v>
      </c>
      <c r="O1" s="116" t="s">
        <v>251</v>
      </c>
      <c r="P1" s="116" t="s">
        <v>252</v>
      </c>
      <c r="Q1" s="116" t="s">
        <v>251</v>
      </c>
      <c r="R1" s="419" t="s">
        <v>250</v>
      </c>
      <c r="S1" s="420"/>
      <c r="T1" s="419" t="s">
        <v>249</v>
      </c>
      <c r="U1" s="420"/>
      <c r="V1" s="419" t="s">
        <v>248</v>
      </c>
      <c r="W1" s="420"/>
      <c r="X1" s="421" t="s">
        <v>247</v>
      </c>
      <c r="Y1" s="422"/>
      <c r="Z1" s="423"/>
    </row>
    <row r="2" spans="1:26" ht="31.2" x14ac:dyDescent="0.3">
      <c r="A2" s="114" t="s">
        <v>84</v>
      </c>
      <c r="B2" s="113" t="s">
        <v>85</v>
      </c>
      <c r="C2" s="112" t="s">
        <v>86</v>
      </c>
      <c r="D2" s="111" t="s">
        <v>87</v>
      </c>
      <c r="E2" s="110" t="s">
        <v>88</v>
      </c>
      <c r="X2" s="75"/>
      <c r="Y2" s="75"/>
      <c r="Z2" s="109"/>
    </row>
    <row r="3" spans="1:26" s="102" customFormat="1" ht="43.2" x14ac:dyDescent="0.3">
      <c r="A3" s="108" t="s">
        <v>246</v>
      </c>
      <c r="B3" s="108" t="s">
        <v>245</v>
      </c>
      <c r="C3" s="108" t="s">
        <v>244</v>
      </c>
      <c r="D3" s="108" t="s">
        <v>243</v>
      </c>
      <c r="E3" s="108" t="s">
        <v>242</v>
      </c>
      <c r="F3" s="108" t="s">
        <v>241</v>
      </c>
      <c r="G3" s="108" t="s">
        <v>240</v>
      </c>
      <c r="H3" s="108" t="s">
        <v>239</v>
      </c>
      <c r="I3" s="108" t="s">
        <v>238</v>
      </c>
      <c r="J3" s="108" t="s">
        <v>237</v>
      </c>
      <c r="K3" s="108" t="s">
        <v>236</v>
      </c>
      <c r="L3" s="108" t="s">
        <v>235</v>
      </c>
      <c r="M3" s="108" t="s">
        <v>234</v>
      </c>
      <c r="N3" s="108" t="s">
        <v>233</v>
      </c>
      <c r="O3" s="108" t="s">
        <v>231</v>
      </c>
      <c r="P3" s="108" t="s">
        <v>232</v>
      </c>
      <c r="Q3" s="108" t="s">
        <v>231</v>
      </c>
      <c r="R3" s="106" t="s">
        <v>230</v>
      </c>
      <c r="S3" s="105" t="s">
        <v>229</v>
      </c>
      <c r="T3" s="106" t="s">
        <v>229</v>
      </c>
      <c r="U3" s="107" t="s">
        <v>228</v>
      </c>
      <c r="V3" s="106" t="s">
        <v>227</v>
      </c>
      <c r="W3" s="105" t="s">
        <v>226</v>
      </c>
      <c r="X3" s="104" t="s">
        <v>15</v>
      </c>
      <c r="Y3" s="104" t="s">
        <v>225</v>
      </c>
      <c r="Z3" s="103" t="s">
        <v>224</v>
      </c>
    </row>
    <row r="4" spans="1:26" x14ac:dyDescent="0.3">
      <c r="A4" s="81">
        <v>1960</v>
      </c>
      <c r="B4" s="81" t="s">
        <v>223</v>
      </c>
      <c r="C4" t="s">
        <v>94</v>
      </c>
      <c r="D4" t="s">
        <v>222</v>
      </c>
      <c r="E4" s="101" t="s">
        <v>221</v>
      </c>
      <c r="F4" s="99" t="s">
        <v>4</v>
      </c>
      <c r="G4" s="99" t="s">
        <v>91</v>
      </c>
      <c r="H4" t="s">
        <v>106</v>
      </c>
      <c r="I4" t="s">
        <v>206</v>
      </c>
      <c r="J4" t="s">
        <v>101</v>
      </c>
      <c r="K4" s="99" t="s">
        <v>220</v>
      </c>
      <c r="L4" s="101" t="s">
        <v>219</v>
      </c>
      <c r="M4" t="s">
        <v>270</v>
      </c>
      <c r="N4" s="99" t="s">
        <v>218</v>
      </c>
      <c r="O4" s="81" t="s">
        <v>217</v>
      </c>
      <c r="P4" s="81" t="s">
        <v>216</v>
      </c>
      <c r="Q4" s="81" t="s">
        <v>215</v>
      </c>
      <c r="R4" t="s">
        <v>94</v>
      </c>
      <c r="S4" t="s">
        <v>106</v>
      </c>
      <c r="T4" t="s">
        <v>106</v>
      </c>
      <c r="U4" t="s">
        <v>101</v>
      </c>
      <c r="V4" s="6" t="s">
        <v>95</v>
      </c>
      <c r="W4" s="8" t="s">
        <v>94</v>
      </c>
      <c r="X4" t="s">
        <v>94</v>
      </c>
      <c r="Y4" t="s">
        <v>155</v>
      </c>
      <c r="Z4" t="s">
        <v>165</v>
      </c>
    </row>
    <row r="5" spans="1:26" x14ac:dyDescent="0.3">
      <c r="A5" s="81">
        <v>1961</v>
      </c>
      <c r="B5" s="81" t="s">
        <v>214</v>
      </c>
      <c r="C5" t="s">
        <v>95</v>
      </c>
      <c r="D5" t="s">
        <v>213</v>
      </c>
      <c r="E5" s="101" t="s">
        <v>212</v>
      </c>
      <c r="F5" s="99" t="s">
        <v>92</v>
      </c>
      <c r="G5" s="99" t="s">
        <v>44</v>
      </c>
      <c r="H5" t="s">
        <v>107</v>
      </c>
      <c r="I5" t="s">
        <v>193</v>
      </c>
      <c r="J5" t="s">
        <v>102</v>
      </c>
      <c r="K5" s="99" t="s">
        <v>211</v>
      </c>
      <c r="N5" s="99" t="s">
        <v>210</v>
      </c>
      <c r="O5" s="81" t="s">
        <v>209</v>
      </c>
      <c r="P5" s="81" t="s">
        <v>208</v>
      </c>
      <c r="Q5" s="81" t="s">
        <v>207</v>
      </c>
      <c r="R5" t="s">
        <v>94</v>
      </c>
      <c r="S5" t="s">
        <v>206</v>
      </c>
      <c r="T5" t="s">
        <v>107</v>
      </c>
      <c r="U5" t="s">
        <v>102</v>
      </c>
      <c r="V5" s="6" t="s">
        <v>95</v>
      </c>
      <c r="W5" s="8" t="s">
        <v>95</v>
      </c>
      <c r="X5" t="s">
        <v>94</v>
      </c>
      <c r="Y5" t="s">
        <v>166</v>
      </c>
      <c r="Z5" t="s">
        <v>165</v>
      </c>
    </row>
    <row r="6" spans="1:26" x14ac:dyDescent="0.3">
      <c r="A6" s="81">
        <v>1962</v>
      </c>
      <c r="B6" s="81" t="s">
        <v>205</v>
      </c>
      <c r="C6" s="71" t="s">
        <v>172</v>
      </c>
      <c r="D6" t="s">
        <v>204</v>
      </c>
      <c r="E6" s="100" t="s">
        <v>203</v>
      </c>
      <c r="F6" s="81" t="s">
        <v>202</v>
      </c>
      <c r="G6" s="99" t="s">
        <v>46</v>
      </c>
      <c r="H6" t="s">
        <v>108</v>
      </c>
      <c r="I6" t="s">
        <v>72</v>
      </c>
      <c r="J6" t="s">
        <v>103</v>
      </c>
      <c r="K6" s="99" t="s">
        <v>201</v>
      </c>
      <c r="M6" s="98"/>
      <c r="N6" s="99" t="s">
        <v>200</v>
      </c>
      <c r="P6" s="81" t="s">
        <v>199</v>
      </c>
      <c r="Q6" s="81" t="s">
        <v>198</v>
      </c>
      <c r="R6" t="s">
        <v>95</v>
      </c>
      <c r="S6" t="s">
        <v>107</v>
      </c>
      <c r="T6" t="s">
        <v>108</v>
      </c>
      <c r="U6" t="s">
        <v>103</v>
      </c>
      <c r="V6" s="6" t="s">
        <v>95</v>
      </c>
      <c r="W6" s="8" t="s">
        <v>96</v>
      </c>
      <c r="X6" t="s">
        <v>94</v>
      </c>
      <c r="Y6" t="s">
        <v>155</v>
      </c>
      <c r="Z6" s="84" t="s">
        <v>164</v>
      </c>
    </row>
    <row r="7" spans="1:26" x14ac:dyDescent="0.3">
      <c r="A7" s="81">
        <v>1963</v>
      </c>
      <c r="B7" s="81" t="s">
        <v>197</v>
      </c>
      <c r="C7" s="71" t="s">
        <v>97</v>
      </c>
      <c r="E7" s="90"/>
      <c r="F7" s="81" t="s">
        <v>52</v>
      </c>
      <c r="H7" t="s">
        <v>109</v>
      </c>
      <c r="I7" s="98" t="s">
        <v>81</v>
      </c>
      <c r="J7" t="s">
        <v>104</v>
      </c>
      <c r="K7" s="99" t="s">
        <v>196</v>
      </c>
      <c r="N7" s="99" t="s">
        <v>195</v>
      </c>
      <c r="Q7" s="81" t="s">
        <v>194</v>
      </c>
      <c r="R7" t="s">
        <v>95</v>
      </c>
      <c r="S7" t="s">
        <v>193</v>
      </c>
      <c r="T7" t="s">
        <v>109</v>
      </c>
      <c r="U7" t="s">
        <v>104</v>
      </c>
      <c r="V7" s="6" t="s">
        <v>95</v>
      </c>
      <c r="W7" s="8" t="s">
        <v>99</v>
      </c>
      <c r="X7" t="s">
        <v>94</v>
      </c>
      <c r="Y7" t="s">
        <v>152</v>
      </c>
      <c r="Z7" s="84" t="s">
        <v>163</v>
      </c>
    </row>
    <row r="8" spans="1:26" x14ac:dyDescent="0.3">
      <c r="A8" s="81">
        <v>1964</v>
      </c>
      <c r="B8" s="81" t="s">
        <v>192</v>
      </c>
      <c r="C8" s="71" t="s">
        <v>96</v>
      </c>
      <c r="E8" s="90"/>
      <c r="H8" t="s">
        <v>110</v>
      </c>
      <c r="I8" s="98" t="s">
        <v>74</v>
      </c>
      <c r="J8" t="s">
        <v>105</v>
      </c>
      <c r="N8" s="99" t="s">
        <v>191</v>
      </c>
      <c r="Q8" s="81" t="s">
        <v>190</v>
      </c>
      <c r="R8" t="s">
        <v>96</v>
      </c>
      <c r="S8" t="s">
        <v>108</v>
      </c>
      <c r="T8"/>
      <c r="U8"/>
      <c r="V8" s="6" t="s">
        <v>95</v>
      </c>
      <c r="W8" s="8" t="s">
        <v>100</v>
      </c>
      <c r="X8" t="s">
        <v>94</v>
      </c>
      <c r="Y8" t="s">
        <v>160</v>
      </c>
      <c r="Z8" s="84" t="s">
        <v>162</v>
      </c>
    </row>
    <row r="9" spans="1:26" x14ac:dyDescent="0.3">
      <c r="A9" s="81">
        <v>1965</v>
      </c>
      <c r="B9" s="81" t="s">
        <v>189</v>
      </c>
      <c r="E9" s="90"/>
      <c r="H9" s="95"/>
      <c r="I9" s="98" t="s">
        <v>82</v>
      </c>
      <c r="J9" s="95"/>
      <c r="Q9" s="81" t="s">
        <v>188</v>
      </c>
      <c r="R9" t="s">
        <v>97</v>
      </c>
      <c r="S9" t="s">
        <v>109</v>
      </c>
      <c r="T9" s="93"/>
      <c r="U9" s="94"/>
      <c r="V9" s="6" t="s">
        <v>94</v>
      </c>
      <c r="W9" s="8" t="s">
        <v>94</v>
      </c>
      <c r="X9" t="s">
        <v>94</v>
      </c>
      <c r="Y9" t="s">
        <v>155</v>
      </c>
      <c r="Z9" s="84" t="s">
        <v>161</v>
      </c>
    </row>
    <row r="10" spans="1:26" x14ac:dyDescent="0.3">
      <c r="A10" s="81">
        <v>1966</v>
      </c>
      <c r="B10" s="81" t="s">
        <v>187</v>
      </c>
      <c r="E10" s="90"/>
      <c r="H10" s="95"/>
      <c r="I10" t="s">
        <v>21</v>
      </c>
      <c r="K10" s="90"/>
      <c r="Q10" s="81" t="s">
        <v>186</v>
      </c>
      <c r="R10" t="s">
        <v>98</v>
      </c>
      <c r="S10" t="s">
        <v>110</v>
      </c>
      <c r="T10" s="93"/>
      <c r="U10" s="94"/>
      <c r="V10" s="6" t="s">
        <v>94</v>
      </c>
      <c r="W10" s="8" t="s">
        <v>95</v>
      </c>
      <c r="X10" t="s">
        <v>94</v>
      </c>
      <c r="Y10" t="s">
        <v>159</v>
      </c>
      <c r="Z10" s="84" t="s">
        <v>161</v>
      </c>
    </row>
    <row r="11" spans="1:26" x14ac:dyDescent="0.3">
      <c r="A11" s="81">
        <v>1967</v>
      </c>
      <c r="B11" s="81" t="s">
        <v>185</v>
      </c>
      <c r="H11" s="95"/>
      <c r="I11" t="s">
        <v>22</v>
      </c>
      <c r="K11" s="90"/>
      <c r="Q11" s="81"/>
      <c r="R11" t="s">
        <v>98</v>
      </c>
      <c r="S11" t="s">
        <v>105</v>
      </c>
      <c r="T11" s="93"/>
      <c r="U11" s="94"/>
      <c r="V11" s="6" t="s">
        <v>94</v>
      </c>
      <c r="W11" s="8" t="s">
        <v>96</v>
      </c>
      <c r="X11" t="s">
        <v>95</v>
      </c>
      <c r="Y11" t="s">
        <v>160</v>
      </c>
      <c r="Z11" s="84" t="s">
        <v>157</v>
      </c>
    </row>
    <row r="12" spans="1:26" x14ac:dyDescent="0.3">
      <c r="A12" s="81">
        <v>1968</v>
      </c>
      <c r="B12" s="81" t="s">
        <v>184</v>
      </c>
      <c r="H12" s="95"/>
      <c r="I12" t="s">
        <v>183</v>
      </c>
      <c r="K12" s="97"/>
      <c r="Q12" s="81"/>
      <c r="R12" t="s">
        <v>182</v>
      </c>
      <c r="S12" t="s">
        <v>181</v>
      </c>
      <c r="T12" s="93"/>
      <c r="U12" s="94"/>
      <c r="V12" s="6" t="s">
        <v>94</v>
      </c>
      <c r="W12" s="8" t="s">
        <v>99</v>
      </c>
      <c r="X12" t="s">
        <v>95</v>
      </c>
      <c r="Y12" t="s">
        <v>159</v>
      </c>
      <c r="Z12" s="84" t="s">
        <v>157</v>
      </c>
    </row>
    <row r="13" spans="1:26" x14ac:dyDescent="0.3">
      <c r="A13" s="81">
        <v>1969</v>
      </c>
      <c r="B13" s="81" t="s">
        <v>180</v>
      </c>
      <c r="H13" s="95"/>
      <c r="I13" t="s">
        <v>23</v>
      </c>
      <c r="K13" s="90"/>
      <c r="R13" t="s">
        <v>66</v>
      </c>
      <c r="S13" t="s">
        <v>22</v>
      </c>
      <c r="T13" s="93"/>
      <c r="U13" s="94"/>
      <c r="V13" s="6" t="s">
        <v>94</v>
      </c>
      <c r="W13" s="8" t="s">
        <v>100</v>
      </c>
      <c r="X13" t="s">
        <v>95</v>
      </c>
      <c r="Y13" t="s">
        <v>158</v>
      </c>
      <c r="Z13" s="84" t="s">
        <v>157</v>
      </c>
    </row>
    <row r="14" spans="1:26" x14ac:dyDescent="0.3">
      <c r="A14" s="81">
        <v>1970</v>
      </c>
      <c r="B14" s="81" t="s">
        <v>179</v>
      </c>
      <c r="H14" s="96"/>
      <c r="I14" t="s">
        <v>24</v>
      </c>
      <c r="J14" s="90"/>
      <c r="K14" s="90"/>
      <c r="R14" t="s">
        <v>178</v>
      </c>
      <c r="S14" t="s">
        <v>23</v>
      </c>
      <c r="T14" s="93"/>
      <c r="U14" s="94"/>
      <c r="V14" s="6" t="s">
        <v>96</v>
      </c>
      <c r="W14" s="8" t="s">
        <v>96</v>
      </c>
      <c r="X14" t="s">
        <v>95</v>
      </c>
      <c r="Y14" t="s">
        <v>155</v>
      </c>
      <c r="Z14" s="84" t="s">
        <v>156</v>
      </c>
    </row>
    <row r="15" spans="1:26" x14ac:dyDescent="0.3">
      <c r="A15" s="81">
        <v>1971</v>
      </c>
      <c r="B15" s="81" t="s">
        <v>177</v>
      </c>
      <c r="H15" s="95"/>
      <c r="I15" t="s">
        <v>176</v>
      </c>
      <c r="J15" s="90"/>
      <c r="K15" s="90"/>
      <c r="R15" t="s">
        <v>175</v>
      </c>
      <c r="S15" t="s">
        <v>174</v>
      </c>
      <c r="T15" s="93"/>
      <c r="U15" s="94"/>
      <c r="V15" s="6" t="s">
        <v>96</v>
      </c>
      <c r="W15" s="8" t="s">
        <v>97</v>
      </c>
      <c r="X15" t="s">
        <v>95</v>
      </c>
      <c r="Y15" t="s">
        <v>154</v>
      </c>
      <c r="Z15" s="84" t="s">
        <v>156</v>
      </c>
    </row>
    <row r="16" spans="1:26" x14ac:dyDescent="0.3">
      <c r="A16" s="81">
        <v>1972</v>
      </c>
      <c r="C16"/>
      <c r="H16" s="95"/>
      <c r="J16" s="90"/>
      <c r="R16" t="s">
        <v>67</v>
      </c>
      <c r="S16" t="s">
        <v>173</v>
      </c>
      <c r="T16" s="93"/>
      <c r="U16" s="94"/>
      <c r="V16" s="6" t="s">
        <v>97</v>
      </c>
      <c r="W16" s="8" t="s">
        <v>97</v>
      </c>
      <c r="X16" t="s">
        <v>95</v>
      </c>
      <c r="Y16" t="s">
        <v>155</v>
      </c>
      <c r="Z16" s="84" t="s">
        <v>153</v>
      </c>
    </row>
    <row r="17" spans="1:26" x14ac:dyDescent="0.3">
      <c r="A17" s="81">
        <v>1973</v>
      </c>
      <c r="C17"/>
      <c r="H17" s="95"/>
      <c r="J17" s="90"/>
      <c r="R17" t="s">
        <v>99</v>
      </c>
      <c r="S17" t="s">
        <v>106</v>
      </c>
      <c r="T17" s="93"/>
      <c r="U17" s="94"/>
      <c r="V17" s="6" t="s">
        <v>97</v>
      </c>
      <c r="W17" s="8" t="s">
        <v>96</v>
      </c>
      <c r="X17" t="s">
        <v>95</v>
      </c>
      <c r="Y17" t="s">
        <v>154</v>
      </c>
      <c r="Z17" s="84" t="s">
        <v>153</v>
      </c>
    </row>
    <row r="18" spans="1:26" x14ac:dyDescent="0.3">
      <c r="A18" s="81">
        <v>1974</v>
      </c>
      <c r="C18"/>
      <c r="H18" s="95"/>
      <c r="J18" s="90"/>
      <c r="R18" t="s">
        <v>100</v>
      </c>
      <c r="S18" t="s">
        <v>107</v>
      </c>
      <c r="T18" s="93"/>
      <c r="U18" s="94"/>
      <c r="V18" s="6" t="s">
        <v>99</v>
      </c>
      <c r="W18" s="8" t="s">
        <v>94</v>
      </c>
      <c r="X18" t="s">
        <v>95</v>
      </c>
      <c r="Y18" t="s">
        <v>152</v>
      </c>
      <c r="Z18" s="84" t="s">
        <v>151</v>
      </c>
    </row>
    <row r="19" spans="1:26" x14ac:dyDescent="0.3">
      <c r="A19" s="81">
        <v>1975</v>
      </c>
      <c r="C19"/>
      <c r="H19" s="95"/>
      <c r="J19" s="90"/>
      <c r="R19" s="93"/>
      <c r="S19" s="92"/>
      <c r="T19" s="93"/>
      <c r="U19" s="94"/>
      <c r="V19" s="6" t="s">
        <v>99</v>
      </c>
      <c r="W19" s="8" t="s">
        <v>95</v>
      </c>
      <c r="X19" t="s">
        <v>97</v>
      </c>
      <c r="Y19" t="s">
        <v>160</v>
      </c>
      <c r="Z19" s="84" t="s">
        <v>157</v>
      </c>
    </row>
    <row r="20" spans="1:26" x14ac:dyDescent="0.3">
      <c r="A20" s="81">
        <v>1976</v>
      </c>
      <c r="C20"/>
      <c r="H20" s="96"/>
      <c r="R20" s="93"/>
      <c r="S20" s="92"/>
      <c r="T20" s="93"/>
      <c r="U20" s="94"/>
      <c r="V20" s="6" t="s">
        <v>99</v>
      </c>
      <c r="W20" s="8" t="s">
        <v>99</v>
      </c>
      <c r="X20" t="s">
        <v>97</v>
      </c>
      <c r="Y20" t="s">
        <v>159</v>
      </c>
      <c r="Z20" s="84" t="s">
        <v>157</v>
      </c>
    </row>
    <row r="21" spans="1:26" x14ac:dyDescent="0.3">
      <c r="A21" s="81">
        <v>1977</v>
      </c>
      <c r="C21"/>
      <c r="H21" s="95"/>
      <c r="J21" s="90"/>
      <c r="R21" s="93"/>
      <c r="S21" s="92"/>
      <c r="T21" s="93"/>
      <c r="U21" s="94"/>
      <c r="V21" s="6" t="s">
        <v>99</v>
      </c>
      <c r="W21" s="8" t="s">
        <v>100</v>
      </c>
      <c r="X21" t="s">
        <v>97</v>
      </c>
      <c r="Y21" t="s">
        <v>158</v>
      </c>
      <c r="Z21" s="84" t="s">
        <v>157</v>
      </c>
    </row>
    <row r="22" spans="1:26" x14ac:dyDescent="0.3">
      <c r="A22" s="81">
        <v>1978</v>
      </c>
      <c r="C22"/>
      <c r="H22" s="95"/>
      <c r="J22" s="90"/>
      <c r="R22" s="93"/>
      <c r="S22" s="92"/>
      <c r="T22" s="93"/>
      <c r="U22" s="94"/>
      <c r="V22" s="6" t="s">
        <v>100</v>
      </c>
      <c r="W22" s="8" t="s">
        <v>94</v>
      </c>
      <c r="X22" t="s">
        <v>97</v>
      </c>
      <c r="Y22" t="s">
        <v>155</v>
      </c>
      <c r="Z22" s="84" t="s">
        <v>156</v>
      </c>
    </row>
    <row r="23" spans="1:26" x14ac:dyDescent="0.3">
      <c r="A23" s="81">
        <v>1979</v>
      </c>
      <c r="H23" s="95"/>
      <c r="I23" s="90"/>
      <c r="J23" s="90"/>
      <c r="R23" s="93"/>
      <c r="S23" s="92"/>
      <c r="T23" s="93"/>
      <c r="U23" s="94"/>
      <c r="V23" s="6" t="s">
        <v>100</v>
      </c>
      <c r="W23" s="8" t="s">
        <v>95</v>
      </c>
      <c r="X23" t="s">
        <v>97</v>
      </c>
      <c r="Y23" t="s">
        <v>167</v>
      </c>
      <c r="Z23" s="84" t="s">
        <v>156</v>
      </c>
    </row>
    <row r="24" spans="1:26" x14ac:dyDescent="0.3">
      <c r="A24" s="81">
        <v>1980</v>
      </c>
      <c r="H24" s="95"/>
      <c r="I24" s="90"/>
      <c r="J24" s="90"/>
      <c r="R24" s="93"/>
      <c r="S24" s="92"/>
      <c r="T24" s="93"/>
      <c r="U24" s="94"/>
      <c r="V24" s="6" t="s">
        <v>100</v>
      </c>
      <c r="W24" s="8" t="s">
        <v>99</v>
      </c>
      <c r="X24" t="s">
        <v>97</v>
      </c>
      <c r="Y24" t="s">
        <v>152</v>
      </c>
      <c r="Z24" s="84" t="s">
        <v>156</v>
      </c>
    </row>
    <row r="25" spans="1:26" x14ac:dyDescent="0.3">
      <c r="A25" s="81">
        <v>1981</v>
      </c>
      <c r="I25" s="90"/>
      <c r="J25" s="91"/>
      <c r="R25" s="93"/>
      <c r="S25" s="92"/>
      <c r="T25" s="93"/>
      <c r="U25" s="94"/>
      <c r="V25" s="6" t="s">
        <v>100</v>
      </c>
      <c r="W25" s="8" t="s">
        <v>100</v>
      </c>
      <c r="X25" t="s">
        <v>97</v>
      </c>
      <c r="Y25" t="s">
        <v>155</v>
      </c>
      <c r="Z25" s="84" t="s">
        <v>153</v>
      </c>
    </row>
    <row r="26" spans="1:26" x14ac:dyDescent="0.3">
      <c r="A26" s="81">
        <v>1982</v>
      </c>
      <c r="I26" s="90"/>
      <c r="J26" s="91"/>
      <c r="R26" s="93"/>
      <c r="S26" s="92"/>
      <c r="T26" s="93"/>
      <c r="U26" s="94"/>
      <c r="V26" s="73" t="s">
        <v>172</v>
      </c>
      <c r="W26" t="s">
        <v>94</v>
      </c>
      <c r="X26" t="s">
        <v>97</v>
      </c>
      <c r="Y26" t="s">
        <v>167</v>
      </c>
      <c r="Z26" s="84" t="s">
        <v>153</v>
      </c>
    </row>
    <row r="27" spans="1:26" x14ac:dyDescent="0.3">
      <c r="A27" s="81">
        <v>1983</v>
      </c>
      <c r="I27" s="90"/>
      <c r="J27" s="91"/>
      <c r="R27" s="93"/>
      <c r="S27" s="92"/>
      <c r="T27" s="93"/>
      <c r="U27" s="94"/>
      <c r="V27" s="73" t="s">
        <v>172</v>
      </c>
      <c r="W27" t="s">
        <v>95</v>
      </c>
      <c r="X27" t="s">
        <v>97</v>
      </c>
      <c r="Y27" t="s">
        <v>159</v>
      </c>
      <c r="Z27" s="84" t="s">
        <v>153</v>
      </c>
    </row>
    <row r="28" spans="1:26" x14ac:dyDescent="0.3">
      <c r="A28" s="81">
        <v>1984</v>
      </c>
      <c r="I28" s="90"/>
      <c r="J28" s="91"/>
      <c r="R28" s="93"/>
      <c r="S28" s="92"/>
      <c r="V28" s="73" t="s">
        <v>172</v>
      </c>
      <c r="W28" t="s">
        <v>96</v>
      </c>
      <c r="X28" t="s">
        <v>97</v>
      </c>
      <c r="Y28" t="s">
        <v>158</v>
      </c>
      <c r="Z28" s="84" t="s">
        <v>153</v>
      </c>
    </row>
    <row r="29" spans="1:26" x14ac:dyDescent="0.3">
      <c r="A29" s="81">
        <v>1985</v>
      </c>
      <c r="J29" s="90"/>
      <c r="R29" s="93"/>
      <c r="S29" s="92"/>
      <c r="V29" s="73" t="s">
        <v>172</v>
      </c>
      <c r="W29" t="s">
        <v>97</v>
      </c>
      <c r="X29" t="s">
        <v>97</v>
      </c>
      <c r="Y29" t="s">
        <v>152</v>
      </c>
      <c r="Z29" s="84" t="s">
        <v>151</v>
      </c>
    </row>
    <row r="30" spans="1:26" x14ac:dyDescent="0.3">
      <c r="A30" s="81">
        <v>1986</v>
      </c>
      <c r="J30" s="91"/>
      <c r="R30" s="93"/>
      <c r="S30" s="92"/>
      <c r="V30" s="73" t="s">
        <v>172</v>
      </c>
      <c r="W30" t="s">
        <v>98</v>
      </c>
      <c r="X30" t="s">
        <v>98</v>
      </c>
      <c r="Y30" t="s">
        <v>152</v>
      </c>
      <c r="Z30" s="84" t="s">
        <v>165</v>
      </c>
    </row>
    <row r="31" spans="1:26" x14ac:dyDescent="0.3">
      <c r="A31" s="81">
        <v>1987</v>
      </c>
      <c r="R31" s="93"/>
      <c r="S31" s="92"/>
      <c r="V31" s="73" t="s">
        <v>172</v>
      </c>
      <c r="W31" t="s">
        <v>99</v>
      </c>
      <c r="X31" t="s">
        <v>98</v>
      </c>
      <c r="Y31" t="s">
        <v>160</v>
      </c>
      <c r="Z31" s="84" t="s">
        <v>163</v>
      </c>
    </row>
    <row r="32" spans="1:26" x14ac:dyDescent="0.3">
      <c r="A32" s="81">
        <v>1988</v>
      </c>
      <c r="J32" s="91"/>
      <c r="R32" s="93"/>
      <c r="S32" s="92"/>
      <c r="V32" s="73" t="s">
        <v>172</v>
      </c>
      <c r="W32" t="s">
        <v>100</v>
      </c>
      <c r="X32" t="s">
        <v>98</v>
      </c>
      <c r="Y32" t="s">
        <v>159</v>
      </c>
      <c r="Z32" s="84" t="s">
        <v>157</v>
      </c>
    </row>
    <row r="33" spans="1:26" x14ac:dyDescent="0.3">
      <c r="A33" s="81">
        <v>1989</v>
      </c>
      <c r="J33" s="91"/>
      <c r="V33" s="73"/>
      <c r="W33" s="72"/>
      <c r="X33" t="s">
        <v>98</v>
      </c>
      <c r="Y33" t="s">
        <v>158</v>
      </c>
      <c r="Z33" s="84" t="s">
        <v>157</v>
      </c>
    </row>
    <row r="34" spans="1:26" x14ac:dyDescent="0.3">
      <c r="A34" s="81">
        <v>1990</v>
      </c>
      <c r="J34" s="90"/>
      <c r="V34" s="73"/>
      <c r="W34" s="72"/>
      <c r="X34" t="s">
        <v>98</v>
      </c>
      <c r="Y34" t="s">
        <v>155</v>
      </c>
      <c r="Z34" s="84" t="s">
        <v>157</v>
      </c>
    </row>
    <row r="35" spans="1:26" x14ac:dyDescent="0.3">
      <c r="A35" s="81">
        <v>1991</v>
      </c>
      <c r="J35" s="91"/>
      <c r="V35" s="73"/>
      <c r="W35" s="72"/>
      <c r="X35" t="s">
        <v>98</v>
      </c>
      <c r="Y35" t="s">
        <v>158</v>
      </c>
      <c r="Z35" s="84" t="s">
        <v>156</v>
      </c>
    </row>
    <row r="36" spans="1:26" x14ac:dyDescent="0.3">
      <c r="A36" s="81">
        <v>1992</v>
      </c>
      <c r="J36" s="90"/>
      <c r="V36" s="73"/>
      <c r="W36" s="72"/>
      <c r="X36" t="s">
        <v>98</v>
      </c>
      <c r="Y36" t="s">
        <v>155</v>
      </c>
      <c r="Z36" s="84" t="s">
        <v>153</v>
      </c>
    </row>
    <row r="37" spans="1:26" x14ac:dyDescent="0.3">
      <c r="A37" s="81">
        <v>1993</v>
      </c>
      <c r="V37" s="73"/>
      <c r="W37" s="72"/>
      <c r="X37" t="s">
        <v>98</v>
      </c>
      <c r="Y37" t="s">
        <v>154</v>
      </c>
      <c r="Z37" s="84" t="s">
        <v>151</v>
      </c>
    </row>
    <row r="38" spans="1:26" x14ac:dyDescent="0.3">
      <c r="A38" s="81">
        <v>1994</v>
      </c>
      <c r="V38" s="73"/>
      <c r="W38" s="72"/>
      <c r="X38" t="s">
        <v>98</v>
      </c>
      <c r="Y38" t="s">
        <v>155</v>
      </c>
      <c r="Z38" s="84" t="s">
        <v>151</v>
      </c>
    </row>
    <row r="39" spans="1:26" x14ac:dyDescent="0.3">
      <c r="A39" s="81">
        <v>1995</v>
      </c>
      <c r="J39" s="91"/>
      <c r="V39" s="73"/>
      <c r="W39" s="72"/>
      <c r="X39" t="s">
        <v>98</v>
      </c>
      <c r="Y39" t="s">
        <v>154</v>
      </c>
      <c r="Z39" s="84" t="s">
        <v>171</v>
      </c>
    </row>
    <row r="40" spans="1:26" x14ac:dyDescent="0.3">
      <c r="A40" s="81">
        <v>1996</v>
      </c>
      <c r="J40" s="91"/>
      <c r="V40" s="73"/>
      <c r="W40" s="72"/>
      <c r="X40" t="s">
        <v>98</v>
      </c>
      <c r="Y40" t="s">
        <v>155</v>
      </c>
      <c r="Z40" s="84" t="s">
        <v>170</v>
      </c>
    </row>
    <row r="41" spans="1:26" x14ac:dyDescent="0.3">
      <c r="A41" s="81">
        <v>1997</v>
      </c>
      <c r="V41" s="73"/>
      <c r="W41" s="72"/>
      <c r="X41" t="s">
        <v>98</v>
      </c>
      <c r="Y41" t="s">
        <v>152</v>
      </c>
      <c r="Z41" s="84" t="s">
        <v>161</v>
      </c>
    </row>
    <row r="42" spans="1:26" x14ac:dyDescent="0.3">
      <c r="A42" s="81">
        <v>1998</v>
      </c>
      <c r="J42" s="90"/>
      <c r="V42" s="73"/>
      <c r="W42" s="72"/>
      <c r="X42" t="s">
        <v>96</v>
      </c>
      <c r="Y42" t="s">
        <v>152</v>
      </c>
      <c r="Z42" s="84" t="s">
        <v>165</v>
      </c>
    </row>
    <row r="43" spans="1:26" x14ac:dyDescent="0.3">
      <c r="A43" s="81">
        <v>1999</v>
      </c>
      <c r="V43" s="73"/>
      <c r="W43" s="72"/>
      <c r="X43" t="s">
        <v>96</v>
      </c>
      <c r="Y43" t="s">
        <v>155</v>
      </c>
      <c r="Z43" s="84" t="s">
        <v>165</v>
      </c>
    </row>
    <row r="44" spans="1:26" x14ac:dyDescent="0.3">
      <c r="A44" s="81">
        <v>2000</v>
      </c>
      <c r="V44" s="73"/>
      <c r="W44" s="72"/>
      <c r="X44" t="s">
        <v>96</v>
      </c>
      <c r="Y44" t="s">
        <v>167</v>
      </c>
      <c r="Z44" s="84" t="s">
        <v>165</v>
      </c>
    </row>
    <row r="45" spans="1:26" x14ac:dyDescent="0.3">
      <c r="A45" s="81">
        <v>2001</v>
      </c>
      <c r="V45" s="73"/>
      <c r="W45" s="72"/>
      <c r="X45" t="s">
        <v>96</v>
      </c>
      <c r="Y45" t="s">
        <v>152</v>
      </c>
      <c r="Z45" s="84" t="s">
        <v>164</v>
      </c>
    </row>
    <row r="46" spans="1:26" x14ac:dyDescent="0.3">
      <c r="A46" s="81">
        <v>2002</v>
      </c>
      <c r="V46" s="73"/>
      <c r="W46" s="72"/>
      <c r="X46" t="s">
        <v>96</v>
      </c>
      <c r="Y46" t="s">
        <v>155</v>
      </c>
      <c r="Z46" s="84" t="s">
        <v>163</v>
      </c>
    </row>
    <row r="47" spans="1:26" x14ac:dyDescent="0.3">
      <c r="A47" s="81">
        <v>2003</v>
      </c>
      <c r="V47" s="73"/>
      <c r="W47" s="72"/>
      <c r="X47" t="s">
        <v>96</v>
      </c>
      <c r="Y47" t="s">
        <v>167</v>
      </c>
      <c r="Z47" s="84" t="s">
        <v>163</v>
      </c>
    </row>
    <row r="48" spans="1:26" x14ac:dyDescent="0.3">
      <c r="A48" s="81">
        <v>2004</v>
      </c>
      <c r="V48" s="73"/>
      <c r="W48" s="72"/>
      <c r="X48" t="s">
        <v>96</v>
      </c>
      <c r="Y48" t="s">
        <v>152</v>
      </c>
      <c r="Z48" s="84" t="s">
        <v>163</v>
      </c>
    </row>
    <row r="49" spans="1:26" x14ac:dyDescent="0.3">
      <c r="A49" s="81">
        <v>2005</v>
      </c>
      <c r="S49" s="83"/>
      <c r="V49" s="73"/>
      <c r="W49" s="72"/>
      <c r="X49" t="s">
        <v>96</v>
      </c>
      <c r="Y49" t="s">
        <v>169</v>
      </c>
      <c r="Z49" s="84" t="s">
        <v>157</v>
      </c>
    </row>
    <row r="50" spans="1:26" x14ac:dyDescent="0.3">
      <c r="A50" s="81">
        <v>2006</v>
      </c>
      <c r="S50" s="83"/>
      <c r="V50" s="73"/>
      <c r="W50" s="72"/>
      <c r="X50" t="s">
        <v>96</v>
      </c>
      <c r="Y50" t="s">
        <v>160</v>
      </c>
      <c r="Z50" s="84" t="s">
        <v>168</v>
      </c>
    </row>
    <row r="51" spans="1:26" x14ac:dyDescent="0.3">
      <c r="A51" s="81">
        <v>2007</v>
      </c>
      <c r="S51" s="83"/>
      <c r="V51" s="73"/>
      <c r="W51" s="72"/>
      <c r="X51" t="s">
        <v>96</v>
      </c>
      <c r="Y51" t="s">
        <v>167</v>
      </c>
      <c r="Z51" s="84" t="s">
        <v>168</v>
      </c>
    </row>
    <row r="52" spans="1:26" x14ac:dyDescent="0.3">
      <c r="A52" s="81">
        <v>2008</v>
      </c>
      <c r="S52" s="83"/>
      <c r="V52" s="73"/>
      <c r="W52" s="72"/>
      <c r="X52" t="s">
        <v>96</v>
      </c>
      <c r="Y52" t="s">
        <v>155</v>
      </c>
      <c r="Z52" s="84" t="s">
        <v>162</v>
      </c>
    </row>
    <row r="53" spans="1:26" x14ac:dyDescent="0.3">
      <c r="A53" s="81">
        <v>2009</v>
      </c>
      <c r="S53" s="83"/>
      <c r="V53" s="73"/>
      <c r="W53" s="72"/>
      <c r="X53" t="s">
        <v>96</v>
      </c>
      <c r="Y53" t="s">
        <v>167</v>
      </c>
      <c r="Z53" s="84" t="s">
        <v>162</v>
      </c>
    </row>
    <row r="54" spans="1:26" x14ac:dyDescent="0.3">
      <c r="A54" s="81">
        <v>2010</v>
      </c>
      <c r="S54" s="83"/>
      <c r="V54" s="73"/>
      <c r="W54" s="72"/>
      <c r="X54" t="s">
        <v>96</v>
      </c>
      <c r="Y54" t="s">
        <v>152</v>
      </c>
      <c r="Z54" s="84" t="s">
        <v>161</v>
      </c>
    </row>
    <row r="55" spans="1:26" x14ac:dyDescent="0.3">
      <c r="A55" s="81">
        <v>2011</v>
      </c>
      <c r="S55" s="83"/>
      <c r="V55" s="73"/>
      <c r="W55" s="72"/>
      <c r="X55" t="s">
        <v>96</v>
      </c>
      <c r="Y55" t="s">
        <v>155</v>
      </c>
      <c r="Z55" s="84" t="s">
        <v>161</v>
      </c>
    </row>
    <row r="56" spans="1:26" x14ac:dyDescent="0.3">
      <c r="A56" s="81">
        <v>2012</v>
      </c>
      <c r="S56" s="83"/>
      <c r="V56" s="73"/>
      <c r="W56" s="72"/>
      <c r="X56" t="s">
        <v>96</v>
      </c>
      <c r="Y56" t="s">
        <v>167</v>
      </c>
      <c r="Z56" s="84" t="s">
        <v>161</v>
      </c>
    </row>
    <row r="57" spans="1:26" x14ac:dyDescent="0.3">
      <c r="A57" s="81">
        <v>2013</v>
      </c>
      <c r="S57" s="83"/>
      <c r="V57" s="73"/>
      <c r="W57" s="72"/>
      <c r="X57" t="s">
        <v>99</v>
      </c>
      <c r="Y57" t="s">
        <v>155</v>
      </c>
      <c r="Z57" t="s">
        <v>165</v>
      </c>
    </row>
    <row r="58" spans="1:26" x14ac:dyDescent="0.3">
      <c r="A58" s="81">
        <v>2014</v>
      </c>
      <c r="S58" s="83"/>
      <c r="V58" s="73"/>
      <c r="W58" s="72"/>
      <c r="X58" t="s">
        <v>99</v>
      </c>
      <c r="Y58" t="s">
        <v>166</v>
      </c>
      <c r="Z58" t="s">
        <v>165</v>
      </c>
    </row>
    <row r="59" spans="1:26" x14ac:dyDescent="0.3">
      <c r="A59" s="81">
        <v>2015</v>
      </c>
      <c r="S59" s="83"/>
      <c r="V59" s="73"/>
      <c r="W59" s="72"/>
      <c r="X59" t="s">
        <v>99</v>
      </c>
      <c r="Y59" t="s">
        <v>155</v>
      </c>
      <c r="Z59" s="84" t="s">
        <v>164</v>
      </c>
    </row>
    <row r="60" spans="1:26" x14ac:dyDescent="0.3">
      <c r="A60" s="81">
        <v>2016</v>
      </c>
      <c r="S60" s="83"/>
      <c r="V60" s="73"/>
      <c r="W60" s="72"/>
      <c r="X60" t="s">
        <v>99</v>
      </c>
      <c r="Y60" t="s">
        <v>152</v>
      </c>
      <c r="Z60" s="84" t="s">
        <v>163</v>
      </c>
    </row>
    <row r="61" spans="1:26" x14ac:dyDescent="0.3">
      <c r="A61" s="81">
        <v>2017</v>
      </c>
      <c r="S61" s="83"/>
      <c r="V61" s="73"/>
      <c r="W61" s="72"/>
      <c r="X61" t="s">
        <v>99</v>
      </c>
      <c r="Y61" t="s">
        <v>160</v>
      </c>
      <c r="Z61" s="84" t="s">
        <v>162</v>
      </c>
    </row>
    <row r="62" spans="1:26" x14ac:dyDescent="0.3">
      <c r="A62" s="81">
        <v>2018</v>
      </c>
      <c r="S62" s="83"/>
      <c r="V62" s="73"/>
      <c r="W62" s="72"/>
      <c r="X62" t="s">
        <v>99</v>
      </c>
      <c r="Y62" t="s">
        <v>155</v>
      </c>
      <c r="Z62" s="84" t="s">
        <v>161</v>
      </c>
    </row>
    <row r="63" spans="1:26" x14ac:dyDescent="0.3">
      <c r="A63" s="81">
        <v>2019</v>
      </c>
      <c r="S63" s="83"/>
      <c r="V63" s="73"/>
      <c r="W63" s="72"/>
      <c r="X63" t="s">
        <v>99</v>
      </c>
      <c r="Y63" t="s">
        <v>159</v>
      </c>
      <c r="Z63" s="84" t="s">
        <v>161</v>
      </c>
    </row>
    <row r="64" spans="1:26" x14ac:dyDescent="0.3">
      <c r="A64" s="81">
        <v>2020</v>
      </c>
      <c r="S64" s="83"/>
      <c r="V64" s="73"/>
      <c r="W64" s="72"/>
      <c r="X64" t="s">
        <v>100</v>
      </c>
      <c r="Y64" t="s">
        <v>160</v>
      </c>
      <c r="Z64" s="84" t="s">
        <v>157</v>
      </c>
    </row>
    <row r="65" spans="1:26" x14ac:dyDescent="0.3">
      <c r="A65" s="81">
        <v>2021</v>
      </c>
      <c r="S65" s="83"/>
      <c r="V65" s="73"/>
      <c r="W65" s="72"/>
      <c r="X65" t="s">
        <v>100</v>
      </c>
      <c r="Y65" t="s">
        <v>159</v>
      </c>
      <c r="Z65" s="84" t="s">
        <v>157</v>
      </c>
    </row>
    <row r="66" spans="1:26" x14ac:dyDescent="0.3">
      <c r="A66" s="81">
        <v>2022</v>
      </c>
      <c r="S66" s="83"/>
      <c r="V66" s="73"/>
      <c r="W66" s="72"/>
      <c r="X66" t="s">
        <v>100</v>
      </c>
      <c r="Y66" t="s">
        <v>158</v>
      </c>
      <c r="Z66" s="84" t="s">
        <v>157</v>
      </c>
    </row>
    <row r="67" spans="1:26" x14ac:dyDescent="0.3">
      <c r="A67" s="81">
        <v>2023</v>
      </c>
      <c r="S67" s="83"/>
      <c r="V67" s="73"/>
      <c r="W67" s="72"/>
      <c r="X67" t="s">
        <v>100</v>
      </c>
      <c r="Y67" t="s">
        <v>155</v>
      </c>
      <c r="Z67" s="84" t="s">
        <v>156</v>
      </c>
    </row>
    <row r="68" spans="1:26" x14ac:dyDescent="0.3">
      <c r="A68" s="81">
        <v>2024</v>
      </c>
      <c r="S68" s="83"/>
      <c r="V68" s="73"/>
      <c r="W68" s="72"/>
      <c r="X68" t="s">
        <v>100</v>
      </c>
      <c r="Y68" t="s">
        <v>154</v>
      </c>
      <c r="Z68" s="84" t="s">
        <v>156</v>
      </c>
    </row>
    <row r="69" spans="1:26" x14ac:dyDescent="0.3">
      <c r="A69" s="81">
        <v>2025</v>
      </c>
      <c r="S69" s="83"/>
      <c r="V69" s="73"/>
      <c r="W69" s="72"/>
      <c r="X69" t="s">
        <v>100</v>
      </c>
      <c r="Y69" t="s">
        <v>155</v>
      </c>
      <c r="Z69" s="84" t="s">
        <v>153</v>
      </c>
    </row>
    <row r="70" spans="1:26" x14ac:dyDescent="0.3">
      <c r="A70" s="81">
        <v>2026</v>
      </c>
      <c r="S70" s="83"/>
      <c r="V70" s="73"/>
      <c r="W70" s="72"/>
      <c r="X70" t="s">
        <v>100</v>
      </c>
      <c r="Y70" t="s">
        <v>154</v>
      </c>
      <c r="Z70" s="84" t="s">
        <v>153</v>
      </c>
    </row>
    <row r="71" spans="1:26" x14ac:dyDescent="0.3">
      <c r="A71" s="81">
        <v>2027</v>
      </c>
      <c r="S71" s="83"/>
      <c r="V71" s="73"/>
      <c r="W71" s="72"/>
      <c r="X71" t="s">
        <v>100</v>
      </c>
      <c r="Y71" t="s">
        <v>152</v>
      </c>
      <c r="Z71" s="84" t="s">
        <v>151</v>
      </c>
    </row>
    <row r="72" spans="1:26" x14ac:dyDescent="0.3">
      <c r="A72" s="81">
        <v>2028</v>
      </c>
      <c r="S72" s="83"/>
      <c r="V72" s="73"/>
      <c r="W72" s="72"/>
      <c r="X72"/>
      <c r="Y72" s="85"/>
      <c r="Z72" s="88"/>
    </row>
    <row r="73" spans="1:26" x14ac:dyDescent="0.3">
      <c r="A73" s="81">
        <v>2029</v>
      </c>
      <c r="S73" s="83"/>
      <c r="V73" s="73"/>
      <c r="W73" s="72"/>
      <c r="X73"/>
      <c r="Y73" s="85"/>
      <c r="Z73" s="88"/>
    </row>
    <row r="74" spans="1:26" x14ac:dyDescent="0.3">
      <c r="A74" s="81">
        <v>2030</v>
      </c>
      <c r="S74" s="83"/>
      <c r="V74" s="73"/>
      <c r="W74" s="72"/>
      <c r="X74"/>
      <c r="Y74" s="85"/>
      <c r="Z74" s="88"/>
    </row>
    <row r="75" spans="1:26" x14ac:dyDescent="0.3">
      <c r="A75" s="81">
        <v>2031</v>
      </c>
      <c r="S75" s="83"/>
      <c r="V75" s="73"/>
      <c r="W75" s="72"/>
      <c r="X75" s="84"/>
      <c r="Y75" s="85"/>
      <c r="Z75" s="84"/>
    </row>
    <row r="76" spans="1:26" x14ac:dyDescent="0.3">
      <c r="A76" s="81">
        <v>2032</v>
      </c>
      <c r="S76" s="83"/>
      <c r="V76" s="73"/>
      <c r="W76" s="72"/>
      <c r="X76" s="84"/>
      <c r="Y76" s="85"/>
      <c r="Z76" s="84"/>
    </row>
    <row r="77" spans="1:26" x14ac:dyDescent="0.3">
      <c r="A77" s="81">
        <v>2033</v>
      </c>
      <c r="S77" s="83"/>
      <c r="V77" s="73"/>
      <c r="W77" s="72"/>
      <c r="X77" s="84"/>
      <c r="Y77" s="85"/>
      <c r="Z77" s="84"/>
    </row>
    <row r="78" spans="1:26" x14ac:dyDescent="0.3">
      <c r="A78" s="81">
        <v>2034</v>
      </c>
      <c r="S78" s="83"/>
      <c r="V78" s="73"/>
      <c r="W78" s="72"/>
      <c r="X78" s="84"/>
      <c r="Y78" s="85"/>
      <c r="Z78" s="84"/>
    </row>
    <row r="79" spans="1:26" x14ac:dyDescent="0.3">
      <c r="A79" s="81">
        <v>2035</v>
      </c>
      <c r="S79" s="83"/>
      <c r="V79" s="73"/>
      <c r="W79" s="72"/>
      <c r="X79" s="84"/>
      <c r="Y79" s="85"/>
      <c r="Z79" s="84"/>
    </row>
    <row r="80" spans="1:26" x14ac:dyDescent="0.3">
      <c r="A80" s="81">
        <v>2036</v>
      </c>
      <c r="S80" s="83"/>
      <c r="V80" s="73"/>
      <c r="W80" s="72"/>
      <c r="X80" s="84"/>
      <c r="Y80" s="89"/>
      <c r="Z80" s="84"/>
    </row>
    <row r="81" spans="1:26" x14ac:dyDescent="0.3">
      <c r="A81" s="81">
        <v>2037</v>
      </c>
      <c r="S81" s="83"/>
      <c r="V81" s="73"/>
      <c r="W81" s="72"/>
      <c r="X81" s="84"/>
      <c r="Y81" s="89"/>
      <c r="Z81" s="84"/>
    </row>
    <row r="82" spans="1:26" x14ac:dyDescent="0.3">
      <c r="A82" s="81">
        <v>2038</v>
      </c>
      <c r="S82" s="83"/>
      <c r="V82" s="73"/>
      <c r="W82" s="72"/>
      <c r="X82" s="84"/>
      <c r="Y82" s="85"/>
      <c r="Z82" s="84"/>
    </row>
    <row r="83" spans="1:26" x14ac:dyDescent="0.3">
      <c r="A83" s="81">
        <v>2039</v>
      </c>
      <c r="S83" s="83"/>
      <c r="V83" s="73"/>
      <c r="W83" s="72"/>
      <c r="X83" s="86"/>
      <c r="Y83" s="85"/>
      <c r="Z83" s="88"/>
    </row>
    <row r="84" spans="1:26" x14ac:dyDescent="0.3">
      <c r="A84" s="81">
        <v>2040</v>
      </c>
      <c r="S84" s="83"/>
      <c r="V84" s="73"/>
      <c r="W84" s="72"/>
      <c r="X84" s="86"/>
      <c r="Y84" s="87"/>
      <c r="Z84" s="84"/>
    </row>
    <row r="85" spans="1:26" x14ac:dyDescent="0.3">
      <c r="A85" s="81">
        <v>2041</v>
      </c>
      <c r="S85" s="83"/>
      <c r="V85" s="73"/>
      <c r="W85" s="72"/>
      <c r="X85" s="86"/>
      <c r="Y85" s="85"/>
      <c r="Z85" s="84"/>
    </row>
    <row r="86" spans="1:26" x14ac:dyDescent="0.3">
      <c r="A86" s="81">
        <v>2042</v>
      </c>
      <c r="S86" s="83"/>
      <c r="V86" s="73"/>
      <c r="W86" s="72"/>
      <c r="X86" s="82"/>
      <c r="Y86" s="78"/>
      <c r="Z86" s="77"/>
    </row>
    <row r="87" spans="1:26" x14ac:dyDescent="0.3">
      <c r="A87" s="81">
        <v>2043</v>
      </c>
      <c r="V87" s="73"/>
      <c r="W87" s="72"/>
      <c r="X87" s="82"/>
      <c r="Y87" s="78"/>
      <c r="Z87" s="77"/>
    </row>
    <row r="88" spans="1:26" x14ac:dyDescent="0.3">
      <c r="A88" s="81">
        <v>2044</v>
      </c>
      <c r="V88" s="73"/>
      <c r="W88" s="72"/>
      <c r="X88" s="79"/>
      <c r="Y88" s="78"/>
      <c r="Z88" s="77"/>
    </row>
    <row r="89" spans="1:26" x14ac:dyDescent="0.3">
      <c r="A89" s="81">
        <v>2045</v>
      </c>
      <c r="V89" s="73"/>
      <c r="W89" s="72"/>
      <c r="X89" s="79"/>
      <c r="Y89" s="78"/>
      <c r="Z89" s="77"/>
    </row>
    <row r="90" spans="1:26" x14ac:dyDescent="0.3">
      <c r="A90" s="81">
        <v>2046</v>
      </c>
      <c r="V90" s="73"/>
      <c r="W90" s="72"/>
      <c r="X90" s="79"/>
      <c r="Y90" s="78"/>
      <c r="Z90" s="77"/>
    </row>
    <row r="91" spans="1:26" x14ac:dyDescent="0.3">
      <c r="A91" s="81">
        <v>2047</v>
      </c>
      <c r="V91" s="73"/>
      <c r="W91" s="72"/>
      <c r="X91" s="79"/>
      <c r="Y91" s="78"/>
      <c r="Z91" s="77"/>
    </row>
    <row r="92" spans="1:26" x14ac:dyDescent="0.3">
      <c r="A92" s="81">
        <v>2048</v>
      </c>
      <c r="V92" s="73"/>
      <c r="W92" s="72"/>
      <c r="X92" s="79"/>
      <c r="Y92" s="78"/>
      <c r="Z92" s="77"/>
    </row>
    <row r="93" spans="1:26" x14ac:dyDescent="0.3">
      <c r="A93" s="81">
        <v>2049</v>
      </c>
      <c r="V93" s="73"/>
      <c r="W93" s="72"/>
      <c r="X93" s="79"/>
      <c r="Y93" s="78"/>
      <c r="Z93" s="77"/>
    </row>
    <row r="94" spans="1:26" x14ac:dyDescent="0.3">
      <c r="A94" s="81">
        <v>2050</v>
      </c>
      <c r="V94" s="73"/>
      <c r="W94" s="72"/>
      <c r="X94" s="79"/>
      <c r="Y94" s="78"/>
      <c r="Z94" s="77"/>
    </row>
    <row r="95" spans="1:26" x14ac:dyDescent="0.3">
      <c r="A95" s="81" t="s">
        <v>150</v>
      </c>
      <c r="V95" s="73"/>
      <c r="W95" s="72"/>
      <c r="X95" s="79"/>
      <c r="Y95" s="78"/>
      <c r="Z95" s="77"/>
    </row>
    <row r="96" spans="1:26" x14ac:dyDescent="0.3">
      <c r="A96" s="81" t="s">
        <v>149</v>
      </c>
      <c r="V96" s="73"/>
      <c r="W96" s="72"/>
      <c r="X96" s="79"/>
      <c r="Y96" s="78"/>
      <c r="Z96" s="77"/>
    </row>
    <row r="97" spans="1:26" x14ac:dyDescent="0.3">
      <c r="A97" s="81" t="s">
        <v>148</v>
      </c>
      <c r="V97" s="73"/>
      <c r="W97" s="72"/>
      <c r="X97" s="79"/>
      <c r="Y97" s="78"/>
      <c r="Z97" s="77"/>
    </row>
    <row r="98" spans="1:26" x14ac:dyDescent="0.3">
      <c r="A98" s="81" t="s">
        <v>147</v>
      </c>
      <c r="V98" s="73"/>
      <c r="W98" s="72"/>
      <c r="X98" s="79"/>
      <c r="Y98" s="78"/>
      <c r="Z98" s="77"/>
    </row>
    <row r="99" spans="1:26" x14ac:dyDescent="0.3">
      <c r="A99" s="81" t="s">
        <v>146</v>
      </c>
      <c r="V99" s="73"/>
      <c r="W99" s="72"/>
      <c r="X99" s="79"/>
      <c r="Y99" s="78"/>
      <c r="Z99" s="77"/>
    </row>
    <row r="100" spans="1:26" x14ac:dyDescent="0.3">
      <c r="A100" s="81" t="s">
        <v>145</v>
      </c>
      <c r="V100" s="73"/>
      <c r="W100" s="72"/>
      <c r="X100" s="79"/>
      <c r="Y100" s="78"/>
      <c r="Z100" s="77"/>
    </row>
    <row r="101" spans="1:26" x14ac:dyDescent="0.3">
      <c r="A101" s="81" t="s">
        <v>144</v>
      </c>
      <c r="V101" s="73"/>
      <c r="W101" s="72"/>
      <c r="X101" s="79"/>
      <c r="Y101" s="78"/>
      <c r="Z101" s="77"/>
    </row>
    <row r="102" spans="1:26" x14ac:dyDescent="0.3">
      <c r="A102" s="81" t="s">
        <v>143</v>
      </c>
      <c r="V102" s="73"/>
      <c r="W102" s="72"/>
      <c r="X102" s="79"/>
      <c r="Y102" s="78"/>
      <c r="Z102" s="77"/>
    </row>
    <row r="103" spans="1:26" x14ac:dyDescent="0.3">
      <c r="A103" s="81" t="s">
        <v>142</v>
      </c>
      <c r="V103" s="73"/>
      <c r="W103" s="72"/>
      <c r="X103" s="79"/>
      <c r="Y103" s="78"/>
      <c r="Z103" s="77"/>
    </row>
    <row r="104" spans="1:26" x14ac:dyDescent="0.3">
      <c r="A104" s="81" t="s">
        <v>141</v>
      </c>
      <c r="V104" s="73"/>
      <c r="W104" s="72"/>
      <c r="X104" s="79"/>
      <c r="Y104" s="78"/>
      <c r="Z104" s="77"/>
    </row>
    <row r="105" spans="1:26" x14ac:dyDescent="0.3">
      <c r="A105" s="81" t="s">
        <v>140</v>
      </c>
      <c r="V105" s="73"/>
      <c r="W105" s="72"/>
      <c r="X105" s="79"/>
      <c r="Y105" s="78"/>
      <c r="Z105" s="77"/>
    </row>
    <row r="106" spans="1:26" x14ac:dyDescent="0.3">
      <c r="A106" s="81" t="s">
        <v>139</v>
      </c>
      <c r="V106" s="73"/>
      <c r="W106" s="72"/>
      <c r="X106" s="79"/>
      <c r="Y106" s="78"/>
      <c r="Z106" s="77"/>
    </row>
    <row r="107" spans="1:26" x14ac:dyDescent="0.3">
      <c r="A107" s="81" t="s">
        <v>138</v>
      </c>
      <c r="V107" s="73"/>
      <c r="W107" s="72"/>
      <c r="X107" s="79"/>
      <c r="Y107" s="78"/>
      <c r="Z107" s="77"/>
    </row>
    <row r="108" spans="1:26" x14ac:dyDescent="0.3">
      <c r="A108" s="81" t="s">
        <v>137</v>
      </c>
      <c r="V108" s="73"/>
      <c r="W108" s="72"/>
      <c r="X108" s="79"/>
      <c r="Y108" s="78"/>
      <c r="Z108" s="77"/>
    </row>
    <row r="109" spans="1:26" x14ac:dyDescent="0.3">
      <c r="A109" s="81" t="s">
        <v>136</v>
      </c>
      <c r="V109" s="73"/>
      <c r="W109" s="72"/>
      <c r="X109" s="79"/>
      <c r="Y109" s="78"/>
      <c r="Z109" s="77"/>
    </row>
    <row r="110" spans="1:26" x14ac:dyDescent="0.3">
      <c r="A110" s="81" t="s">
        <v>135</v>
      </c>
      <c r="V110" s="73"/>
      <c r="W110" s="72"/>
      <c r="X110" s="79"/>
      <c r="Y110" s="78"/>
      <c r="Z110" s="77"/>
    </row>
    <row r="111" spans="1:26" x14ac:dyDescent="0.3">
      <c r="A111" s="81" t="s">
        <v>134</v>
      </c>
      <c r="V111" s="73"/>
      <c r="W111" s="72"/>
      <c r="X111" s="79"/>
      <c r="Y111" s="78"/>
      <c r="Z111" s="77"/>
    </row>
    <row r="112" spans="1:26" x14ac:dyDescent="0.3">
      <c r="A112" s="81" t="s">
        <v>133</v>
      </c>
      <c r="V112" s="73"/>
      <c r="W112" s="72"/>
      <c r="X112" s="79"/>
      <c r="Y112" s="78"/>
      <c r="Z112" s="77"/>
    </row>
    <row r="113" spans="1:26" x14ac:dyDescent="0.3">
      <c r="A113" s="81" t="s">
        <v>132</v>
      </c>
      <c r="V113" s="73"/>
      <c r="W113" s="72"/>
      <c r="X113" s="79"/>
      <c r="Y113" s="78"/>
      <c r="Z113" s="80"/>
    </row>
    <row r="114" spans="1:26" x14ac:dyDescent="0.3">
      <c r="A114" s="81" t="s">
        <v>131</v>
      </c>
      <c r="V114" s="73"/>
      <c r="W114" s="72"/>
      <c r="X114" s="79"/>
      <c r="Y114" s="78"/>
      <c r="Z114" s="77"/>
    </row>
    <row r="115" spans="1:26" x14ac:dyDescent="0.3">
      <c r="A115" s="81" t="s">
        <v>130</v>
      </c>
      <c r="V115" s="73"/>
      <c r="W115" s="72"/>
      <c r="X115" s="79"/>
      <c r="Y115" s="78"/>
      <c r="Z115" s="77"/>
    </row>
    <row r="116" spans="1:26" x14ac:dyDescent="0.3">
      <c r="A116" s="81" t="s">
        <v>129</v>
      </c>
      <c r="V116" s="73"/>
      <c r="W116" s="72"/>
      <c r="X116" s="79"/>
      <c r="Y116" s="78"/>
      <c r="Z116" s="77"/>
    </row>
    <row r="117" spans="1:26" x14ac:dyDescent="0.3">
      <c r="A117" s="81" t="s">
        <v>128</v>
      </c>
      <c r="V117" s="73"/>
      <c r="W117" s="72"/>
      <c r="X117" s="79"/>
      <c r="Y117" s="78"/>
      <c r="Z117" s="77"/>
    </row>
    <row r="118" spans="1:26" x14ac:dyDescent="0.3">
      <c r="A118" s="81" t="s">
        <v>127</v>
      </c>
      <c r="V118" s="73"/>
      <c r="W118" s="72"/>
      <c r="X118" s="79"/>
      <c r="Y118" s="78"/>
      <c r="Z118" s="77"/>
    </row>
    <row r="119" spans="1:26" x14ac:dyDescent="0.3">
      <c r="A119" s="81" t="s">
        <v>126</v>
      </c>
      <c r="V119" s="73"/>
      <c r="W119" s="72"/>
      <c r="X119" s="79"/>
      <c r="Y119" s="78"/>
      <c r="Z119" s="77"/>
    </row>
    <row r="120" spans="1:26" x14ac:dyDescent="0.3">
      <c r="A120" s="81" t="s">
        <v>125</v>
      </c>
      <c r="V120" s="73"/>
      <c r="W120" s="72"/>
      <c r="X120" s="79"/>
      <c r="Y120" s="78"/>
      <c r="Z120" s="80"/>
    </row>
    <row r="121" spans="1:26" x14ac:dyDescent="0.3">
      <c r="A121" s="81" t="s">
        <v>124</v>
      </c>
      <c r="V121" s="73"/>
      <c r="W121" s="72"/>
      <c r="X121" s="79"/>
      <c r="Y121" s="78"/>
      <c r="Z121" s="77"/>
    </row>
    <row r="122" spans="1:26" x14ac:dyDescent="0.3">
      <c r="A122" s="81" t="s">
        <v>123</v>
      </c>
      <c r="V122" s="73"/>
      <c r="W122" s="72"/>
      <c r="X122" s="79"/>
      <c r="Y122" s="78"/>
      <c r="Z122" s="77"/>
    </row>
    <row r="123" spans="1:26" x14ac:dyDescent="0.3">
      <c r="A123" s="81" t="s">
        <v>122</v>
      </c>
      <c r="V123" s="73"/>
      <c r="W123" s="72"/>
      <c r="X123" s="79"/>
      <c r="Y123" s="78"/>
      <c r="Z123" s="77"/>
    </row>
    <row r="124" spans="1:26" x14ac:dyDescent="0.3">
      <c r="A124" s="81" t="s">
        <v>121</v>
      </c>
      <c r="V124" s="73"/>
      <c r="W124" s="72"/>
      <c r="X124" s="79"/>
      <c r="Y124" s="78"/>
      <c r="Z124" s="77"/>
    </row>
    <row r="125" spans="1:26" x14ac:dyDescent="0.3">
      <c r="A125" s="81" t="s">
        <v>120</v>
      </c>
      <c r="V125" s="73"/>
      <c r="W125" s="72"/>
      <c r="X125" s="79"/>
      <c r="Y125" s="78"/>
      <c r="Z125" s="77"/>
    </row>
    <row r="126" spans="1:26" x14ac:dyDescent="0.3">
      <c r="A126" s="81" t="s">
        <v>119</v>
      </c>
      <c r="V126" s="73"/>
      <c r="W126" s="72"/>
      <c r="X126" s="79"/>
      <c r="Y126" s="78"/>
      <c r="Z126" s="77"/>
    </row>
    <row r="127" spans="1:26" x14ac:dyDescent="0.3">
      <c r="A127" s="81" t="s">
        <v>118</v>
      </c>
      <c r="V127" s="73"/>
      <c r="W127" s="72"/>
      <c r="X127" s="79"/>
      <c r="Y127" s="78"/>
      <c r="Z127" s="77"/>
    </row>
    <row r="128" spans="1:26" x14ac:dyDescent="0.3">
      <c r="A128" s="81" t="s">
        <v>117</v>
      </c>
      <c r="V128" s="73"/>
      <c r="W128" s="72"/>
      <c r="X128" s="79"/>
      <c r="Y128" s="78"/>
      <c r="Z128" s="77"/>
    </row>
    <row r="129" spans="1:26" x14ac:dyDescent="0.3">
      <c r="A129" s="81" t="s">
        <v>116</v>
      </c>
      <c r="V129" s="73"/>
      <c r="W129" s="72"/>
      <c r="X129" s="79"/>
      <c r="Y129" s="78"/>
      <c r="Z129" s="77"/>
    </row>
    <row r="130" spans="1:26" x14ac:dyDescent="0.3">
      <c r="A130" s="81" t="s">
        <v>115</v>
      </c>
      <c r="V130" s="73"/>
      <c r="W130" s="72"/>
      <c r="X130" s="79"/>
      <c r="Y130" s="78"/>
      <c r="Z130" s="77"/>
    </row>
    <row r="131" spans="1:26" x14ac:dyDescent="0.3">
      <c r="A131" s="81" t="s">
        <v>114</v>
      </c>
      <c r="V131" s="73"/>
      <c r="W131" s="72"/>
      <c r="X131" s="79"/>
      <c r="Y131" s="78"/>
      <c r="Z131" s="77"/>
    </row>
    <row r="132" spans="1:26" x14ac:dyDescent="0.3">
      <c r="A132" s="81" t="s">
        <v>113</v>
      </c>
      <c r="V132" s="73"/>
      <c r="W132" s="72"/>
      <c r="X132" s="79"/>
      <c r="Y132" s="78"/>
      <c r="Z132" s="77"/>
    </row>
    <row r="133" spans="1:26" x14ac:dyDescent="0.3">
      <c r="A133" s="81" t="s">
        <v>112</v>
      </c>
      <c r="V133" s="73"/>
      <c r="W133" s="72"/>
      <c r="X133" s="79"/>
      <c r="Y133" s="78"/>
      <c r="Z133" s="77"/>
    </row>
    <row r="134" spans="1:26" x14ac:dyDescent="0.3">
      <c r="V134" s="73"/>
      <c r="W134" s="72"/>
      <c r="X134" s="79"/>
      <c r="Y134" s="78"/>
      <c r="Z134" s="77"/>
    </row>
    <row r="135" spans="1:26" x14ac:dyDescent="0.3">
      <c r="V135" s="73"/>
      <c r="W135" s="72"/>
      <c r="X135" s="79"/>
      <c r="Y135" s="78"/>
      <c r="Z135" s="77"/>
    </row>
    <row r="136" spans="1:26" x14ac:dyDescent="0.3">
      <c r="V136" s="73"/>
      <c r="W136" s="72"/>
      <c r="X136" s="79"/>
      <c r="Y136" s="78"/>
      <c r="Z136" s="77"/>
    </row>
    <row r="137" spans="1:26" x14ac:dyDescent="0.3">
      <c r="V137" s="73"/>
      <c r="W137" s="72"/>
      <c r="X137" s="79"/>
      <c r="Y137" s="78"/>
      <c r="Z137" s="77"/>
    </row>
    <row r="138" spans="1:26" x14ac:dyDescent="0.3">
      <c r="V138" s="73"/>
      <c r="W138" s="72"/>
      <c r="X138" s="79"/>
      <c r="Y138" s="78"/>
      <c r="Z138" s="77"/>
    </row>
    <row r="139" spans="1:26" x14ac:dyDescent="0.3">
      <c r="V139" s="73"/>
      <c r="W139" s="72"/>
      <c r="X139" s="79"/>
      <c r="Y139" s="78"/>
      <c r="Z139" s="77"/>
    </row>
    <row r="140" spans="1:26" x14ac:dyDescent="0.3">
      <c r="V140" s="73"/>
      <c r="W140" s="72"/>
      <c r="X140" s="79"/>
      <c r="Y140" s="78"/>
      <c r="Z140" s="77"/>
    </row>
    <row r="141" spans="1:26" x14ac:dyDescent="0.3">
      <c r="V141" s="73"/>
      <c r="W141" s="72"/>
      <c r="X141" s="79"/>
      <c r="Y141" s="78"/>
      <c r="Z141" s="77"/>
    </row>
    <row r="142" spans="1:26" x14ac:dyDescent="0.3">
      <c r="V142" s="73"/>
      <c r="W142" s="72"/>
      <c r="X142" s="79"/>
      <c r="Y142" s="78"/>
      <c r="Z142" s="77"/>
    </row>
    <row r="143" spans="1:26" x14ac:dyDescent="0.3">
      <c r="V143" s="73"/>
      <c r="W143" s="72"/>
      <c r="X143" s="79"/>
      <c r="Y143" s="78"/>
      <c r="Z143" s="77"/>
    </row>
    <row r="144" spans="1:26" x14ac:dyDescent="0.3">
      <c r="V144" s="73"/>
      <c r="W144" s="72"/>
      <c r="X144" s="79"/>
      <c r="Y144" s="78"/>
      <c r="Z144" s="77"/>
    </row>
    <row r="145" spans="22:26" x14ac:dyDescent="0.3">
      <c r="V145" s="73"/>
      <c r="W145" s="72"/>
      <c r="X145" s="79"/>
      <c r="Y145" s="78"/>
      <c r="Z145" s="77"/>
    </row>
    <row r="146" spans="22:26" x14ac:dyDescent="0.3">
      <c r="V146" s="73"/>
      <c r="W146" s="72"/>
      <c r="X146" s="79"/>
      <c r="Y146" s="78"/>
      <c r="Z146" s="77"/>
    </row>
    <row r="147" spans="22:26" x14ac:dyDescent="0.3">
      <c r="V147" s="73"/>
      <c r="W147" s="72"/>
      <c r="X147" s="79"/>
      <c r="Y147" s="78"/>
      <c r="Z147" s="77"/>
    </row>
    <row r="148" spans="22:26" x14ac:dyDescent="0.3">
      <c r="V148" s="73"/>
      <c r="W148" s="72"/>
      <c r="X148" s="79"/>
      <c r="Y148" s="78"/>
      <c r="Z148" s="77"/>
    </row>
    <row r="149" spans="22:26" x14ac:dyDescent="0.3">
      <c r="V149" s="73"/>
      <c r="W149" s="72"/>
      <c r="X149" s="79"/>
      <c r="Y149" s="78"/>
      <c r="Z149" s="77"/>
    </row>
    <row r="150" spans="22:26" x14ac:dyDescent="0.3">
      <c r="V150" s="73"/>
      <c r="W150" s="72"/>
      <c r="X150" s="79"/>
      <c r="Y150" s="78"/>
      <c r="Z150" s="77"/>
    </row>
    <row r="151" spans="22:26" x14ac:dyDescent="0.3">
      <c r="V151" s="73"/>
      <c r="W151" s="72"/>
      <c r="X151" s="79"/>
      <c r="Y151" s="78"/>
      <c r="Z151" s="77"/>
    </row>
    <row r="152" spans="22:26" x14ac:dyDescent="0.3">
      <c r="V152" s="73"/>
      <c r="W152" s="72"/>
      <c r="X152" s="79"/>
      <c r="Y152" s="78"/>
      <c r="Z152" s="77"/>
    </row>
    <row r="153" spans="22:26" x14ac:dyDescent="0.3">
      <c r="V153" s="73"/>
      <c r="W153" s="72"/>
      <c r="X153" s="79"/>
      <c r="Y153" s="78"/>
      <c r="Z153" s="77"/>
    </row>
    <row r="154" spans="22:26" x14ac:dyDescent="0.3">
      <c r="V154" s="73"/>
      <c r="W154" s="72"/>
      <c r="X154" s="79"/>
      <c r="Y154" s="78"/>
      <c r="Z154" s="77"/>
    </row>
    <row r="155" spans="22:26" x14ac:dyDescent="0.3">
      <c r="V155" s="73"/>
      <c r="W155" s="72"/>
      <c r="X155" s="79"/>
      <c r="Y155" s="78"/>
      <c r="Z155" s="77"/>
    </row>
    <row r="156" spans="22:26" x14ac:dyDescent="0.3">
      <c r="V156" s="73"/>
      <c r="W156" s="72"/>
      <c r="X156" s="79"/>
      <c r="Y156" s="78"/>
      <c r="Z156" s="77"/>
    </row>
    <row r="157" spans="22:26" x14ac:dyDescent="0.3">
      <c r="V157" s="73"/>
      <c r="W157" s="72"/>
      <c r="X157" s="79"/>
      <c r="Y157" s="78"/>
      <c r="Z157" s="77"/>
    </row>
    <row r="158" spans="22:26" x14ac:dyDescent="0.3">
      <c r="V158" s="73"/>
      <c r="W158" s="72"/>
      <c r="X158" s="79"/>
      <c r="Y158" s="78"/>
      <c r="Z158" s="77"/>
    </row>
    <row r="159" spans="22:26" x14ac:dyDescent="0.3">
      <c r="V159" s="73"/>
      <c r="W159" s="72"/>
      <c r="X159" s="79"/>
      <c r="Y159" s="78"/>
      <c r="Z159" s="77"/>
    </row>
    <row r="160" spans="22:26" x14ac:dyDescent="0.3">
      <c r="V160" s="73"/>
      <c r="W160" s="72"/>
      <c r="X160" s="79"/>
      <c r="Y160" s="78"/>
      <c r="Z160" s="77"/>
    </row>
    <row r="161" spans="22:26" x14ac:dyDescent="0.3">
      <c r="V161" s="73"/>
      <c r="W161" s="72"/>
      <c r="X161" s="79"/>
      <c r="Y161" s="78"/>
      <c r="Z161" s="77"/>
    </row>
    <row r="162" spans="22:26" x14ac:dyDescent="0.3">
      <c r="V162" s="73"/>
      <c r="W162" s="72"/>
      <c r="X162" s="79"/>
      <c r="Y162" s="78"/>
      <c r="Z162" s="77"/>
    </row>
    <row r="163" spans="22:26" x14ac:dyDescent="0.3">
      <c r="V163" s="73"/>
      <c r="W163" s="72"/>
      <c r="X163" s="79"/>
      <c r="Y163" s="78"/>
      <c r="Z163" s="77"/>
    </row>
    <row r="164" spans="22:26" x14ac:dyDescent="0.3">
      <c r="V164" s="73"/>
      <c r="W164" s="72"/>
      <c r="X164" s="79"/>
      <c r="Y164" s="78"/>
      <c r="Z164" s="77"/>
    </row>
    <row r="165" spans="22:26" x14ac:dyDescent="0.3">
      <c r="V165" s="73"/>
      <c r="W165" s="72"/>
      <c r="X165" s="75"/>
      <c r="Y165" s="74"/>
    </row>
    <row r="166" spans="22:26" x14ac:dyDescent="0.3">
      <c r="V166" s="73"/>
      <c r="W166" s="72"/>
      <c r="X166" s="75"/>
      <c r="Y166" s="74"/>
    </row>
    <row r="167" spans="22:26" x14ac:dyDescent="0.3">
      <c r="V167" s="73"/>
      <c r="W167" s="72"/>
      <c r="X167" s="75"/>
      <c r="Y167" s="74"/>
    </row>
    <row r="168" spans="22:26" x14ac:dyDescent="0.3">
      <c r="V168" s="73"/>
      <c r="W168" s="72"/>
      <c r="X168" s="75"/>
      <c r="Y168" s="74"/>
    </row>
    <row r="169" spans="22:26" x14ac:dyDescent="0.3">
      <c r="V169" s="73"/>
      <c r="W169" s="72"/>
      <c r="X169" s="75"/>
      <c r="Y169" s="74"/>
    </row>
    <row r="170" spans="22:26" x14ac:dyDescent="0.3">
      <c r="V170" s="73"/>
      <c r="W170" s="72"/>
      <c r="X170" s="75"/>
      <c r="Y170" s="76"/>
    </row>
    <row r="171" spans="22:26" x14ac:dyDescent="0.3">
      <c r="V171" s="73"/>
      <c r="W171" s="72"/>
      <c r="X171" s="75"/>
      <c r="Y171" s="76"/>
    </row>
    <row r="172" spans="22:26" x14ac:dyDescent="0.3">
      <c r="V172" s="73"/>
      <c r="W172" s="72"/>
      <c r="X172" s="75"/>
      <c r="Y172" s="74"/>
    </row>
    <row r="173" spans="22:26" x14ac:dyDescent="0.3">
      <c r="V173" s="73"/>
      <c r="W173" s="72"/>
    </row>
    <row r="174" spans="22:26" x14ac:dyDescent="0.3">
      <c r="V174" s="73"/>
      <c r="W174" s="72"/>
    </row>
    <row r="175" spans="22:26" x14ac:dyDescent="0.3">
      <c r="V175" s="73"/>
      <c r="W175" s="72"/>
    </row>
    <row r="176" spans="22:26" x14ac:dyDescent="0.3">
      <c r="V176" s="73"/>
      <c r="W176" s="72"/>
    </row>
    <row r="177" spans="22:23" x14ac:dyDescent="0.3">
      <c r="V177" s="73"/>
      <c r="W177" s="72"/>
    </row>
    <row r="178" spans="22:23" x14ac:dyDescent="0.3">
      <c r="V178" s="73"/>
      <c r="W178" s="72"/>
    </row>
    <row r="179" spans="22:23" x14ac:dyDescent="0.3">
      <c r="V179" s="73"/>
      <c r="W179" s="72"/>
    </row>
    <row r="180" spans="22:23" x14ac:dyDescent="0.3">
      <c r="V180" s="73"/>
      <c r="W180" s="72"/>
    </row>
    <row r="181" spans="22:23" x14ac:dyDescent="0.3">
      <c r="V181" s="73"/>
      <c r="W181" s="72"/>
    </row>
    <row r="182" spans="22:23" x14ac:dyDescent="0.3">
      <c r="V182" s="73"/>
      <c r="W182" s="72"/>
    </row>
    <row r="183" spans="22:23" x14ac:dyDescent="0.3">
      <c r="V183" s="73"/>
      <c r="W183" s="72"/>
    </row>
    <row r="184" spans="22:23" x14ac:dyDescent="0.3">
      <c r="V184" s="73"/>
      <c r="W184" s="72"/>
    </row>
    <row r="185" spans="22:23" x14ac:dyDescent="0.3">
      <c r="V185" s="73"/>
      <c r="W185" s="72"/>
    </row>
    <row r="186" spans="22:23" x14ac:dyDescent="0.3">
      <c r="V186" s="73"/>
      <c r="W186" s="72"/>
    </row>
    <row r="187" spans="22:23" x14ac:dyDescent="0.3">
      <c r="V187" s="73"/>
      <c r="W187" s="72"/>
    </row>
    <row r="188" spans="22:23" x14ac:dyDescent="0.3">
      <c r="V188" s="73"/>
      <c r="W188" s="72"/>
    </row>
    <row r="189" spans="22:23" x14ac:dyDescent="0.3">
      <c r="V189" s="73"/>
      <c r="W189" s="72"/>
    </row>
    <row r="190" spans="22:23" x14ac:dyDescent="0.3">
      <c r="V190" s="73"/>
      <c r="W190" s="72"/>
    </row>
    <row r="191" spans="22:23" x14ac:dyDescent="0.3">
      <c r="V191" s="73"/>
      <c r="W191" s="72"/>
    </row>
    <row r="192" spans="22:23" x14ac:dyDescent="0.3">
      <c r="V192" s="73"/>
      <c r="W192" s="72"/>
    </row>
    <row r="193" spans="22:23" x14ac:dyDescent="0.3">
      <c r="V193" s="73"/>
      <c r="W193" s="72"/>
    </row>
    <row r="194" spans="22:23" x14ac:dyDescent="0.3">
      <c r="V194" s="73"/>
      <c r="W194" s="72"/>
    </row>
    <row r="195" spans="22:23" x14ac:dyDescent="0.3">
      <c r="V195" s="73"/>
      <c r="W195" s="72"/>
    </row>
    <row r="196" spans="22:23" x14ac:dyDescent="0.3">
      <c r="V196" s="73"/>
      <c r="W196" s="72"/>
    </row>
    <row r="197" spans="22:23" x14ac:dyDescent="0.3">
      <c r="V197" s="73"/>
      <c r="W197" s="72"/>
    </row>
    <row r="198" spans="22:23" x14ac:dyDescent="0.3">
      <c r="V198" s="73"/>
      <c r="W198" s="72"/>
    </row>
    <row r="199" spans="22:23" x14ac:dyDescent="0.3">
      <c r="V199" s="73"/>
      <c r="W199" s="72"/>
    </row>
    <row r="200" spans="22:23" x14ac:dyDescent="0.3">
      <c r="V200" s="73"/>
      <c r="W200" s="72"/>
    </row>
    <row r="201" spans="22:23" x14ac:dyDescent="0.3">
      <c r="V201" s="73"/>
      <c r="W201" s="72"/>
    </row>
    <row r="202" spans="22:23" x14ac:dyDescent="0.3">
      <c r="V202" s="73"/>
      <c r="W202" s="72"/>
    </row>
    <row r="203" spans="22:23" x14ac:dyDescent="0.3">
      <c r="V203" s="73"/>
      <c r="W203" s="72"/>
    </row>
    <row r="204" spans="22:23" x14ac:dyDescent="0.3">
      <c r="V204" s="73"/>
      <c r="W204" s="72"/>
    </row>
    <row r="205" spans="22:23" x14ac:dyDescent="0.3">
      <c r="V205" s="73"/>
      <c r="W205" s="72"/>
    </row>
    <row r="206" spans="22:23" x14ac:dyDescent="0.3">
      <c r="V206" s="73"/>
      <c r="W206" s="72"/>
    </row>
    <row r="207" spans="22:23" x14ac:dyDescent="0.3">
      <c r="V207" s="73"/>
      <c r="W207" s="72"/>
    </row>
    <row r="208" spans="22:23" x14ac:dyDescent="0.3">
      <c r="V208" s="73"/>
      <c r="W208" s="72"/>
    </row>
    <row r="209" spans="22:23" x14ac:dyDescent="0.3">
      <c r="V209" s="73"/>
      <c r="W209" s="72"/>
    </row>
    <row r="210" spans="22:23" x14ac:dyDescent="0.3">
      <c r="V210" s="73"/>
      <c r="W210" s="72"/>
    </row>
    <row r="211" spans="22:23" x14ac:dyDescent="0.3">
      <c r="V211" s="73"/>
      <c r="W211" s="72"/>
    </row>
    <row r="212" spans="22:23" x14ac:dyDescent="0.3">
      <c r="V212" s="73"/>
      <c r="W212" s="72"/>
    </row>
    <row r="213" spans="22:23" x14ac:dyDescent="0.3">
      <c r="V213" s="73"/>
      <c r="W213" s="72"/>
    </row>
    <row r="214" spans="22:23" x14ac:dyDescent="0.3">
      <c r="V214" s="73"/>
      <c r="W214" s="72"/>
    </row>
    <row r="215" spans="22:23" x14ac:dyDescent="0.3">
      <c r="V215" s="73"/>
      <c r="W215" s="72"/>
    </row>
    <row r="216" spans="22:23" x14ac:dyDescent="0.3">
      <c r="V216" s="73"/>
      <c r="W216" s="72"/>
    </row>
    <row r="217" spans="22:23" x14ac:dyDescent="0.3">
      <c r="V217" s="73"/>
      <c r="W217" s="72"/>
    </row>
    <row r="218" spans="22:23" x14ac:dyDescent="0.3">
      <c r="V218" s="73"/>
      <c r="W218" s="72"/>
    </row>
    <row r="219" spans="22:23" x14ac:dyDescent="0.3">
      <c r="V219" s="73"/>
      <c r="W219" s="72"/>
    </row>
    <row r="220" spans="22:23" x14ac:dyDescent="0.3">
      <c r="V220" s="73"/>
      <c r="W220" s="72"/>
    </row>
    <row r="221" spans="22:23" x14ac:dyDescent="0.3">
      <c r="V221" s="73"/>
      <c r="W221" s="72"/>
    </row>
    <row r="222" spans="22:23" x14ac:dyDescent="0.3">
      <c r="V222" s="73"/>
      <c r="W222" s="72"/>
    </row>
    <row r="223" spans="22:23" x14ac:dyDescent="0.3">
      <c r="V223" s="73"/>
      <c r="W223" s="72"/>
    </row>
    <row r="224" spans="22:23" x14ac:dyDescent="0.3">
      <c r="V224" s="73"/>
      <c r="W224" s="72"/>
    </row>
    <row r="225" spans="22:23" x14ac:dyDescent="0.3">
      <c r="V225" s="73"/>
      <c r="W225" s="72"/>
    </row>
    <row r="226" spans="22:23" x14ac:dyDescent="0.3">
      <c r="V226" s="73"/>
      <c r="W226" s="72"/>
    </row>
    <row r="227" spans="22:23" x14ac:dyDescent="0.3">
      <c r="V227" s="73"/>
      <c r="W227" s="72"/>
    </row>
    <row r="228" spans="22:23" x14ac:dyDescent="0.3">
      <c r="V228" s="73"/>
      <c r="W228" s="72"/>
    </row>
    <row r="229" spans="22:23" x14ac:dyDescent="0.3">
      <c r="V229" s="73"/>
      <c r="W229" s="72"/>
    </row>
    <row r="230" spans="22:23" x14ac:dyDescent="0.3">
      <c r="V230" s="73"/>
      <c r="W230" s="72"/>
    </row>
    <row r="231" spans="22:23" x14ac:dyDescent="0.3">
      <c r="V231" s="73"/>
      <c r="W231" s="72"/>
    </row>
    <row r="232" spans="22:23" x14ac:dyDescent="0.3">
      <c r="V232" s="73"/>
      <c r="W232" s="72"/>
    </row>
    <row r="233" spans="22:23" x14ac:dyDescent="0.3">
      <c r="V233" s="73"/>
      <c r="W233" s="72"/>
    </row>
    <row r="234" spans="22:23" x14ac:dyDescent="0.3">
      <c r="V234" s="73"/>
      <c r="W234" s="72"/>
    </row>
    <row r="235" spans="22:23" x14ac:dyDescent="0.3">
      <c r="V235" s="73"/>
      <c r="W235" s="72"/>
    </row>
    <row r="236" spans="22:23" x14ac:dyDescent="0.3">
      <c r="V236" s="73"/>
      <c r="W236" s="72"/>
    </row>
    <row r="237" spans="22:23" x14ac:dyDescent="0.3">
      <c r="V237" s="73"/>
      <c r="W237" s="72"/>
    </row>
    <row r="238" spans="22:23" x14ac:dyDescent="0.3">
      <c r="V238" s="73"/>
      <c r="W238" s="72"/>
    </row>
    <row r="239" spans="22:23" x14ac:dyDescent="0.3">
      <c r="V239" s="73"/>
      <c r="W239" s="72"/>
    </row>
    <row r="240" spans="22:23" x14ac:dyDescent="0.3">
      <c r="V240" s="73"/>
      <c r="W240" s="72"/>
    </row>
    <row r="241" spans="22:23" x14ac:dyDescent="0.3">
      <c r="V241" s="73"/>
      <c r="W241" s="72"/>
    </row>
    <row r="242" spans="22:23" x14ac:dyDescent="0.3">
      <c r="V242" s="73"/>
      <c r="W242" s="72"/>
    </row>
    <row r="243" spans="22:23" x14ac:dyDescent="0.3">
      <c r="V243" s="73"/>
      <c r="W243" s="72"/>
    </row>
    <row r="244" spans="22:23" x14ac:dyDescent="0.3">
      <c r="V244" s="73"/>
      <c r="W244" s="72"/>
    </row>
    <row r="245" spans="22:23" x14ac:dyDescent="0.3">
      <c r="V245" s="73"/>
      <c r="W245" s="72"/>
    </row>
    <row r="246" spans="22:23" x14ac:dyDescent="0.3">
      <c r="V246" s="73"/>
      <c r="W246" s="72"/>
    </row>
    <row r="247" spans="22:23" x14ac:dyDescent="0.3">
      <c r="V247" s="73"/>
      <c r="W247" s="72"/>
    </row>
    <row r="248" spans="22:23" x14ac:dyDescent="0.3">
      <c r="V248" s="73"/>
      <c r="W248" s="72"/>
    </row>
    <row r="249" spans="22:23" x14ac:dyDescent="0.3">
      <c r="V249" s="73"/>
      <c r="W249" s="72"/>
    </row>
    <row r="250" spans="22:23" x14ac:dyDescent="0.3">
      <c r="V250" s="73"/>
      <c r="W250" s="72"/>
    </row>
    <row r="251" spans="22:23" x14ac:dyDescent="0.3">
      <c r="V251" s="73"/>
      <c r="W251" s="72"/>
    </row>
    <row r="252" spans="22:23" x14ac:dyDescent="0.3">
      <c r="V252" s="73"/>
      <c r="W252" s="72"/>
    </row>
    <row r="253" spans="22:23" x14ac:dyDescent="0.3">
      <c r="V253" s="73"/>
      <c r="W253" s="72"/>
    </row>
    <row r="254" spans="22:23" x14ac:dyDescent="0.3">
      <c r="V254" s="73"/>
      <c r="W254" s="72"/>
    </row>
    <row r="255" spans="22:23" x14ac:dyDescent="0.3">
      <c r="V255" s="73"/>
      <c r="W255" s="72"/>
    </row>
    <row r="256" spans="22:23" x14ac:dyDescent="0.3">
      <c r="V256" s="73"/>
      <c r="W256" s="72"/>
    </row>
    <row r="257" spans="22:23" x14ac:dyDescent="0.3">
      <c r="V257" s="73"/>
      <c r="W257" s="72"/>
    </row>
    <row r="258" spans="22:23" x14ac:dyDescent="0.3">
      <c r="V258" s="73"/>
      <c r="W258" s="72"/>
    </row>
    <row r="259" spans="22:23" x14ac:dyDescent="0.3">
      <c r="V259" s="73"/>
      <c r="W259" s="72"/>
    </row>
    <row r="260" spans="22:23" x14ac:dyDescent="0.3">
      <c r="V260" s="73"/>
      <c r="W260" s="72"/>
    </row>
    <row r="261" spans="22:23" x14ac:dyDescent="0.3">
      <c r="V261" s="73"/>
      <c r="W261" s="72"/>
    </row>
    <row r="262" spans="22:23" x14ac:dyDescent="0.3">
      <c r="V262" s="73"/>
      <c r="W262" s="72"/>
    </row>
    <row r="263" spans="22:23" x14ac:dyDescent="0.3">
      <c r="V263" s="73"/>
      <c r="W263" s="72"/>
    </row>
    <row r="264" spans="22:23" x14ac:dyDescent="0.3">
      <c r="V264" s="73"/>
      <c r="W264" s="72"/>
    </row>
    <row r="265" spans="22:23" x14ac:dyDescent="0.3">
      <c r="V265" s="73"/>
      <c r="W265" s="72"/>
    </row>
    <row r="266" spans="22:23" x14ac:dyDescent="0.3">
      <c r="V266" s="73"/>
      <c r="W266" s="72"/>
    </row>
    <row r="267" spans="22:23" x14ac:dyDescent="0.3">
      <c r="V267" s="73"/>
      <c r="W267" s="72"/>
    </row>
    <row r="268" spans="22:23" x14ac:dyDescent="0.3">
      <c r="V268" s="73"/>
      <c r="W268" s="72"/>
    </row>
    <row r="269" spans="22:23" x14ac:dyDescent="0.3">
      <c r="V269" s="73"/>
      <c r="W269" s="72"/>
    </row>
    <row r="270" spans="22:23" x14ac:dyDescent="0.3">
      <c r="V270" s="73"/>
      <c r="W270" s="72"/>
    </row>
    <row r="271" spans="22:23" x14ac:dyDescent="0.3">
      <c r="V271" s="73"/>
      <c r="W271" s="72"/>
    </row>
    <row r="272" spans="22:23" x14ac:dyDescent="0.3">
      <c r="V272" s="73"/>
      <c r="W272" s="72"/>
    </row>
    <row r="273" spans="22:23" x14ac:dyDescent="0.3">
      <c r="V273" s="73"/>
      <c r="W273" s="72"/>
    </row>
    <row r="274" spans="22:23" x14ac:dyDescent="0.3">
      <c r="V274" s="73"/>
      <c r="W274" s="72"/>
    </row>
    <row r="275" spans="22:23" x14ac:dyDescent="0.3">
      <c r="V275" s="73"/>
      <c r="W275" s="72"/>
    </row>
    <row r="276" spans="22:23" x14ac:dyDescent="0.3">
      <c r="V276" s="73"/>
      <c r="W276" s="72"/>
    </row>
    <row r="277" spans="22:23" x14ac:dyDescent="0.3">
      <c r="V277" s="73"/>
      <c r="W277" s="72"/>
    </row>
    <row r="278" spans="22:23" x14ac:dyDescent="0.3">
      <c r="V278" s="73"/>
      <c r="W278" s="72"/>
    </row>
    <row r="279" spans="22:23" x14ac:dyDescent="0.3">
      <c r="V279" s="73"/>
      <c r="W279" s="72"/>
    </row>
    <row r="280" spans="22:23" x14ac:dyDescent="0.3">
      <c r="V280" s="73"/>
      <c r="W280" s="72"/>
    </row>
    <row r="281" spans="22:23" x14ac:dyDescent="0.3">
      <c r="V281" s="73"/>
      <c r="W281" s="72"/>
    </row>
    <row r="282" spans="22:23" x14ac:dyDescent="0.3">
      <c r="V282" s="73"/>
      <c r="W282" s="72"/>
    </row>
    <row r="283" spans="22:23" x14ac:dyDescent="0.3">
      <c r="V283" s="73"/>
      <c r="W283" s="72"/>
    </row>
    <row r="284" spans="22:23" x14ac:dyDescent="0.3">
      <c r="V284" s="73"/>
      <c r="W284" s="72"/>
    </row>
    <row r="285" spans="22:23" x14ac:dyDescent="0.3">
      <c r="V285" s="73"/>
      <c r="W285" s="72"/>
    </row>
    <row r="286" spans="22:23" x14ac:dyDescent="0.3">
      <c r="V286" s="73"/>
      <c r="W286" s="72"/>
    </row>
    <row r="287" spans="22:23" x14ac:dyDescent="0.3">
      <c r="V287" s="73"/>
      <c r="W287" s="72"/>
    </row>
    <row r="288" spans="22:23" x14ac:dyDescent="0.3">
      <c r="V288" s="73"/>
      <c r="W288" s="72"/>
    </row>
    <row r="289" spans="22:23" x14ac:dyDescent="0.3">
      <c r="V289" s="73"/>
      <c r="W289" s="72"/>
    </row>
    <row r="290" spans="22:23" x14ac:dyDescent="0.3">
      <c r="V290" s="73"/>
      <c r="W290" s="72"/>
    </row>
    <row r="291" spans="22:23" x14ac:dyDescent="0.3">
      <c r="V291" s="73"/>
      <c r="W291" s="72"/>
    </row>
    <row r="292" spans="22:23" x14ac:dyDescent="0.3">
      <c r="V292" s="73"/>
      <c r="W292" s="72"/>
    </row>
    <row r="293" spans="22:23" x14ac:dyDescent="0.3">
      <c r="V293" s="73"/>
      <c r="W293" s="72"/>
    </row>
    <row r="294" spans="22:23" x14ac:dyDescent="0.3">
      <c r="V294" s="73"/>
      <c r="W294" s="72"/>
    </row>
    <row r="295" spans="22:23" x14ac:dyDescent="0.3">
      <c r="V295" s="73"/>
      <c r="W295" s="72"/>
    </row>
    <row r="296" spans="22:23" x14ac:dyDescent="0.3">
      <c r="V296" s="73"/>
      <c r="W296" s="72"/>
    </row>
    <row r="297" spans="22:23" x14ac:dyDescent="0.3">
      <c r="V297" s="73"/>
      <c r="W297" s="72"/>
    </row>
    <row r="298" spans="22:23" x14ac:dyDescent="0.3">
      <c r="V298" s="73"/>
      <c r="W298" s="72"/>
    </row>
    <row r="299" spans="22:23" x14ac:dyDescent="0.3">
      <c r="V299" s="73"/>
      <c r="W299" s="72"/>
    </row>
    <row r="300" spans="22:23" x14ac:dyDescent="0.3">
      <c r="V300" s="73"/>
      <c r="W300" s="72"/>
    </row>
    <row r="301" spans="22:23" x14ac:dyDescent="0.3">
      <c r="V301" s="73"/>
      <c r="W301" s="72"/>
    </row>
    <row r="302" spans="22:23" x14ac:dyDescent="0.3">
      <c r="V302" s="73"/>
      <c r="W302" s="72"/>
    </row>
    <row r="303" spans="22:23" x14ac:dyDescent="0.3">
      <c r="V303" s="73"/>
      <c r="W303" s="72"/>
    </row>
    <row r="304" spans="22:23" x14ac:dyDescent="0.3">
      <c r="V304" s="73"/>
      <c r="W304" s="72"/>
    </row>
    <row r="305" spans="22:23" x14ac:dyDescent="0.3">
      <c r="V305" s="73"/>
      <c r="W305" s="72"/>
    </row>
    <row r="306" spans="22:23" x14ac:dyDescent="0.3">
      <c r="V306" s="73"/>
      <c r="W306" s="72"/>
    </row>
    <row r="307" spans="22:23" x14ac:dyDescent="0.3">
      <c r="V307" s="73"/>
      <c r="W307" s="72"/>
    </row>
    <row r="308" spans="22:23" x14ac:dyDescent="0.3">
      <c r="V308" s="73"/>
      <c r="W308" s="72"/>
    </row>
    <row r="309" spans="22:23" x14ac:dyDescent="0.3">
      <c r="V309" s="73"/>
      <c r="W309" s="72"/>
    </row>
    <row r="310" spans="22:23" x14ac:dyDescent="0.3">
      <c r="V310" s="73"/>
      <c r="W310" s="72"/>
    </row>
    <row r="311" spans="22:23" x14ac:dyDescent="0.3">
      <c r="V311" s="73"/>
      <c r="W311" s="72"/>
    </row>
    <row r="312" spans="22:23" x14ac:dyDescent="0.3">
      <c r="V312" s="73"/>
      <c r="W312" s="72"/>
    </row>
    <row r="313" spans="22:23" x14ac:dyDescent="0.3">
      <c r="V313" s="73"/>
      <c r="W313" s="72"/>
    </row>
    <row r="314" spans="22:23" x14ac:dyDescent="0.3">
      <c r="V314" s="73"/>
      <c r="W314" s="72"/>
    </row>
    <row r="315" spans="22:23" x14ac:dyDescent="0.3">
      <c r="V315" s="73"/>
      <c r="W315" s="72"/>
    </row>
    <row r="316" spans="22:23" x14ac:dyDescent="0.3">
      <c r="V316" s="73"/>
      <c r="W316" s="72"/>
    </row>
    <row r="317" spans="22:23" x14ac:dyDescent="0.3">
      <c r="V317" s="73"/>
      <c r="W317" s="72"/>
    </row>
    <row r="318" spans="22:23" x14ac:dyDescent="0.3">
      <c r="V318" s="73"/>
      <c r="W318" s="72"/>
    </row>
    <row r="319" spans="22:23" x14ac:dyDescent="0.3">
      <c r="V319" s="73"/>
      <c r="W319" s="72"/>
    </row>
    <row r="320" spans="22:23" x14ac:dyDescent="0.3">
      <c r="V320" s="73"/>
      <c r="W320" s="72"/>
    </row>
    <row r="321" spans="22:23" x14ac:dyDescent="0.3">
      <c r="V321" s="73"/>
      <c r="W321" s="72"/>
    </row>
    <row r="322" spans="22:23" x14ac:dyDescent="0.3">
      <c r="V322" s="73"/>
      <c r="W322" s="72"/>
    </row>
    <row r="323" spans="22:23" x14ac:dyDescent="0.3">
      <c r="V323" s="73"/>
      <c r="W323" s="72"/>
    </row>
    <row r="324" spans="22:23" x14ac:dyDescent="0.3">
      <c r="V324" s="73"/>
      <c r="W324" s="72"/>
    </row>
    <row r="325" spans="22:23" x14ac:dyDescent="0.3">
      <c r="V325" s="73"/>
      <c r="W325" s="72"/>
    </row>
    <row r="326" spans="22:23" x14ac:dyDescent="0.3">
      <c r="V326" s="73"/>
      <c r="W326" s="72"/>
    </row>
    <row r="327" spans="22:23" x14ac:dyDescent="0.3">
      <c r="V327" s="73"/>
      <c r="W327" s="72"/>
    </row>
    <row r="328" spans="22:23" x14ac:dyDescent="0.3">
      <c r="V328" s="73"/>
      <c r="W328" s="72"/>
    </row>
    <row r="329" spans="22:23" x14ac:dyDescent="0.3">
      <c r="V329" s="73"/>
      <c r="W329" s="72"/>
    </row>
    <row r="330" spans="22:23" x14ac:dyDescent="0.3">
      <c r="V330" s="73"/>
      <c r="W330" s="72"/>
    </row>
    <row r="331" spans="22:23" x14ac:dyDescent="0.3">
      <c r="V331" s="73"/>
      <c r="W331" s="72"/>
    </row>
    <row r="332" spans="22:23" x14ac:dyDescent="0.3">
      <c r="V332" s="73"/>
      <c r="W332" s="72"/>
    </row>
    <row r="333" spans="22:23" x14ac:dyDescent="0.3">
      <c r="V333" s="73"/>
      <c r="W333" s="72"/>
    </row>
    <row r="334" spans="22:23" x14ac:dyDescent="0.3">
      <c r="V334" s="73"/>
      <c r="W334" s="72"/>
    </row>
    <row r="335" spans="22:23" x14ac:dyDescent="0.3">
      <c r="V335" s="73"/>
      <c r="W335" s="72"/>
    </row>
    <row r="336" spans="22:23" x14ac:dyDescent="0.3">
      <c r="V336" s="73"/>
      <c r="W336" s="72"/>
    </row>
    <row r="337" spans="22:23" x14ac:dyDescent="0.3">
      <c r="V337" s="73"/>
      <c r="W337" s="72"/>
    </row>
    <row r="338" spans="22:23" x14ac:dyDescent="0.3">
      <c r="V338" s="73"/>
      <c r="W338" s="72"/>
    </row>
    <row r="339" spans="22:23" x14ac:dyDescent="0.3">
      <c r="V339" s="73"/>
      <c r="W339" s="72"/>
    </row>
    <row r="340" spans="22:23" x14ac:dyDescent="0.3">
      <c r="V340" s="73"/>
      <c r="W340" s="72"/>
    </row>
    <row r="341" spans="22:23" x14ac:dyDescent="0.3">
      <c r="V341" s="73"/>
      <c r="W341" s="72"/>
    </row>
    <row r="342" spans="22:23" x14ac:dyDescent="0.3">
      <c r="V342" s="73"/>
      <c r="W342" s="72"/>
    </row>
    <row r="343" spans="22:23" x14ac:dyDescent="0.3">
      <c r="V343" s="73"/>
      <c r="W343" s="72"/>
    </row>
    <row r="344" spans="22:23" x14ac:dyDescent="0.3">
      <c r="V344" s="73"/>
      <c r="W344" s="72"/>
    </row>
    <row r="345" spans="22:23" x14ac:dyDescent="0.3">
      <c r="V345" s="73"/>
      <c r="W345" s="72"/>
    </row>
    <row r="346" spans="22:23" x14ac:dyDescent="0.3">
      <c r="V346" s="73"/>
      <c r="W346" s="72"/>
    </row>
    <row r="347" spans="22:23" x14ac:dyDescent="0.3">
      <c r="V347" s="73"/>
      <c r="W347" s="72"/>
    </row>
    <row r="348" spans="22:23" x14ac:dyDescent="0.3">
      <c r="V348" s="73"/>
      <c r="W348" s="72"/>
    </row>
    <row r="349" spans="22:23" x14ac:dyDescent="0.3">
      <c r="V349" s="73"/>
      <c r="W349" s="72"/>
    </row>
    <row r="350" spans="22:23" x14ac:dyDescent="0.3">
      <c r="V350" s="73"/>
      <c r="W350" s="72"/>
    </row>
    <row r="351" spans="22:23" x14ac:dyDescent="0.3">
      <c r="V351" s="73"/>
      <c r="W351" s="72"/>
    </row>
    <row r="352" spans="22:23" x14ac:dyDescent="0.3">
      <c r="V352" s="73"/>
      <c r="W352" s="72"/>
    </row>
    <row r="353" spans="22:23" x14ac:dyDescent="0.3">
      <c r="V353" s="73"/>
      <c r="W353" s="72"/>
    </row>
    <row r="354" spans="22:23" x14ac:dyDescent="0.3">
      <c r="V354" s="73"/>
      <c r="W354" s="72"/>
    </row>
    <row r="355" spans="22:23" x14ac:dyDescent="0.3">
      <c r="V355" s="73"/>
      <c r="W355" s="72"/>
    </row>
    <row r="356" spans="22:23" x14ac:dyDescent="0.3">
      <c r="V356" s="73"/>
      <c r="W356" s="72"/>
    </row>
    <row r="357" spans="22:23" x14ac:dyDescent="0.3">
      <c r="V357" s="73"/>
      <c r="W357" s="72"/>
    </row>
    <row r="358" spans="22:23" x14ac:dyDescent="0.3">
      <c r="V358" s="73"/>
      <c r="W358" s="72"/>
    </row>
    <row r="359" spans="22:23" x14ac:dyDescent="0.3">
      <c r="V359" s="73"/>
      <c r="W359" s="72"/>
    </row>
    <row r="360" spans="22:23" x14ac:dyDescent="0.3">
      <c r="V360" s="73"/>
      <c r="W360" s="72"/>
    </row>
    <row r="361" spans="22:23" x14ac:dyDescent="0.3">
      <c r="V361" s="73"/>
      <c r="W361" s="72"/>
    </row>
    <row r="362" spans="22:23" x14ac:dyDescent="0.3">
      <c r="V362" s="73"/>
      <c r="W362" s="72"/>
    </row>
    <row r="363" spans="22:23" x14ac:dyDescent="0.3">
      <c r="V363" s="73"/>
      <c r="W363" s="72"/>
    </row>
    <row r="364" spans="22:23" x14ac:dyDescent="0.3">
      <c r="V364" s="73"/>
      <c r="W364" s="72"/>
    </row>
    <row r="365" spans="22:23" x14ac:dyDescent="0.3">
      <c r="V365" s="73"/>
      <c r="W365" s="72"/>
    </row>
    <row r="366" spans="22:23" x14ac:dyDescent="0.3">
      <c r="V366" s="73"/>
      <c r="W366" s="72"/>
    </row>
    <row r="367" spans="22:23" x14ac:dyDescent="0.3">
      <c r="V367" s="73"/>
      <c r="W367" s="72"/>
    </row>
    <row r="368" spans="22:23" x14ac:dyDescent="0.3">
      <c r="V368" s="73"/>
      <c r="W368" s="72"/>
    </row>
    <row r="369" spans="22:23" x14ac:dyDescent="0.3">
      <c r="V369" s="73"/>
      <c r="W369" s="72"/>
    </row>
    <row r="370" spans="22:23" x14ac:dyDescent="0.3">
      <c r="V370" s="73"/>
      <c r="W370" s="72"/>
    </row>
    <row r="371" spans="22:23" x14ac:dyDescent="0.3">
      <c r="V371" s="73"/>
      <c r="W371" s="72"/>
    </row>
    <row r="372" spans="22:23" x14ac:dyDescent="0.3">
      <c r="V372" s="73"/>
      <c r="W372" s="72"/>
    </row>
    <row r="373" spans="22:23" x14ac:dyDescent="0.3">
      <c r="V373" s="73"/>
      <c r="W373" s="72"/>
    </row>
    <row r="374" spans="22:23" x14ac:dyDescent="0.3">
      <c r="V374" s="73"/>
      <c r="W374" s="72"/>
    </row>
    <row r="375" spans="22:23" x14ac:dyDescent="0.3">
      <c r="V375" s="73"/>
      <c r="W375" s="72"/>
    </row>
    <row r="376" spans="22:23" x14ac:dyDescent="0.3">
      <c r="V376" s="73"/>
      <c r="W376" s="72"/>
    </row>
    <row r="377" spans="22:23" x14ac:dyDescent="0.3">
      <c r="V377" s="73"/>
      <c r="W377" s="72"/>
    </row>
    <row r="378" spans="22:23" x14ac:dyDescent="0.3">
      <c r="V378" s="73"/>
      <c r="W378" s="72"/>
    </row>
    <row r="379" spans="22:23" x14ac:dyDescent="0.3">
      <c r="V379" s="73"/>
      <c r="W379" s="72"/>
    </row>
    <row r="380" spans="22:23" x14ac:dyDescent="0.3">
      <c r="V380" s="73"/>
      <c r="W380" s="72"/>
    </row>
    <row r="381" spans="22:23" x14ac:dyDescent="0.3">
      <c r="V381" s="73"/>
      <c r="W381" s="72"/>
    </row>
    <row r="382" spans="22:23" x14ac:dyDescent="0.3">
      <c r="V382" s="73"/>
      <c r="W382" s="72"/>
    </row>
    <row r="383" spans="22:23" x14ac:dyDescent="0.3">
      <c r="V383" s="73"/>
      <c r="W383" s="72"/>
    </row>
    <row r="384" spans="22:23" x14ac:dyDescent="0.3">
      <c r="V384" s="73"/>
      <c r="W384" s="72"/>
    </row>
    <row r="385" spans="22:23" x14ac:dyDescent="0.3">
      <c r="V385" s="73"/>
      <c r="W385" s="72"/>
    </row>
    <row r="386" spans="22:23" x14ac:dyDescent="0.3">
      <c r="V386" s="73"/>
      <c r="W386" s="72"/>
    </row>
    <row r="387" spans="22:23" x14ac:dyDescent="0.3">
      <c r="V387" s="73"/>
      <c r="W387" s="72"/>
    </row>
    <row r="388" spans="22:23" x14ac:dyDescent="0.3">
      <c r="V388" s="73"/>
      <c r="W388" s="72"/>
    </row>
    <row r="389" spans="22:23" x14ac:dyDescent="0.3">
      <c r="V389" s="73"/>
      <c r="W389" s="72"/>
    </row>
    <row r="390" spans="22:23" x14ac:dyDescent="0.3">
      <c r="V390" s="73"/>
      <c r="W390" s="72"/>
    </row>
    <row r="391" spans="22:23" x14ac:dyDescent="0.3">
      <c r="V391" s="73"/>
      <c r="W391" s="72"/>
    </row>
    <row r="392" spans="22:23" x14ac:dyDescent="0.3">
      <c r="V392" s="73"/>
      <c r="W392" s="72"/>
    </row>
    <row r="393" spans="22:23" x14ac:dyDescent="0.3">
      <c r="V393" s="73"/>
      <c r="W393" s="72"/>
    </row>
    <row r="394" spans="22:23" x14ac:dyDescent="0.3">
      <c r="V394" s="73"/>
      <c r="W394" s="72"/>
    </row>
    <row r="395" spans="22:23" x14ac:dyDescent="0.3">
      <c r="V395" s="73"/>
      <c r="W395" s="72"/>
    </row>
    <row r="396" spans="22:23" x14ac:dyDescent="0.3">
      <c r="V396" s="73"/>
      <c r="W396" s="72"/>
    </row>
    <row r="397" spans="22:23" x14ac:dyDescent="0.3">
      <c r="V397" s="73"/>
      <c r="W397" s="72"/>
    </row>
    <row r="398" spans="22:23" x14ac:dyDescent="0.3">
      <c r="V398" s="73"/>
      <c r="W398" s="72"/>
    </row>
    <row r="399" spans="22:23" x14ac:dyDescent="0.3">
      <c r="V399" s="73"/>
      <c r="W399" s="72"/>
    </row>
    <row r="400" spans="22:23" x14ac:dyDescent="0.3">
      <c r="V400" s="73"/>
      <c r="W400" s="72"/>
    </row>
    <row r="401" spans="22:23" x14ac:dyDescent="0.3">
      <c r="V401" s="73"/>
      <c r="W401" s="72"/>
    </row>
    <row r="402" spans="22:23" x14ac:dyDescent="0.3">
      <c r="V402" s="73"/>
      <c r="W402" s="72"/>
    </row>
    <row r="403" spans="22:23" x14ac:dyDescent="0.3">
      <c r="V403" s="73"/>
      <c r="W403" s="72"/>
    </row>
    <row r="404" spans="22:23" x14ac:dyDescent="0.3">
      <c r="V404" s="73"/>
      <c r="W404" s="72"/>
    </row>
    <row r="405" spans="22:23" x14ac:dyDescent="0.3">
      <c r="V405" s="73"/>
      <c r="W405" s="72"/>
    </row>
    <row r="406" spans="22:23" x14ac:dyDescent="0.3">
      <c r="V406" s="73"/>
      <c r="W406" s="72"/>
    </row>
    <row r="407" spans="22:23" x14ac:dyDescent="0.3">
      <c r="V407" s="73"/>
      <c r="W407" s="72"/>
    </row>
    <row r="408" spans="22:23" x14ac:dyDescent="0.3">
      <c r="V408" s="73"/>
      <c r="W408" s="72"/>
    </row>
    <row r="409" spans="22:23" x14ac:dyDescent="0.3">
      <c r="V409" s="73"/>
      <c r="W409" s="72"/>
    </row>
    <row r="410" spans="22:23" x14ac:dyDescent="0.3">
      <c r="V410" s="73"/>
      <c r="W410" s="72"/>
    </row>
    <row r="411" spans="22:23" x14ac:dyDescent="0.3">
      <c r="V411" s="73"/>
      <c r="W411" s="72"/>
    </row>
    <row r="412" spans="22:23" x14ac:dyDescent="0.3">
      <c r="V412" s="73"/>
      <c r="W412" s="72"/>
    </row>
    <row r="413" spans="22:23" x14ac:dyDescent="0.3">
      <c r="V413" s="73"/>
      <c r="W413" s="72"/>
    </row>
    <row r="414" spans="22:23" x14ac:dyDescent="0.3">
      <c r="V414" s="73"/>
      <c r="W414" s="72"/>
    </row>
    <row r="415" spans="22:23" x14ac:dyDescent="0.3">
      <c r="V415" s="73"/>
      <c r="W415" s="72"/>
    </row>
    <row r="416" spans="22:23" x14ac:dyDescent="0.3">
      <c r="V416" s="73"/>
      <c r="W416" s="72"/>
    </row>
    <row r="417" spans="22:23" x14ac:dyDescent="0.3">
      <c r="V417" s="73"/>
      <c r="W417" s="72"/>
    </row>
    <row r="418" spans="22:23" x14ac:dyDescent="0.3">
      <c r="V418" s="73"/>
      <c r="W418" s="72"/>
    </row>
    <row r="419" spans="22:23" x14ac:dyDescent="0.3">
      <c r="V419" s="73"/>
      <c r="W419" s="72"/>
    </row>
    <row r="420" spans="22:23" x14ac:dyDescent="0.3">
      <c r="V420" s="73"/>
      <c r="W420" s="72"/>
    </row>
    <row r="421" spans="22:23" x14ac:dyDescent="0.3">
      <c r="V421" s="73"/>
      <c r="W421" s="72"/>
    </row>
    <row r="422" spans="22:23" x14ac:dyDescent="0.3">
      <c r="V422" s="73"/>
      <c r="W422" s="72"/>
    </row>
  </sheetData>
  <mergeCells count="4">
    <mergeCell ref="V1:W1"/>
    <mergeCell ref="R1:S1"/>
    <mergeCell ref="T1:U1"/>
    <mergeCell ref="X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E125-DF42-4B24-9492-68B462F9BAD2}">
  <dimension ref="A1:AV80"/>
  <sheetViews>
    <sheetView topLeftCell="M1" workbookViewId="0">
      <selection activeCell="N14" sqref="N14"/>
    </sheetView>
  </sheetViews>
  <sheetFormatPr baseColWidth="10" defaultRowHeight="14.4" x14ac:dyDescent="0.3"/>
  <cols>
    <col min="1" max="1" width="19.109375" style="5" customWidth="1"/>
    <col min="2" max="2" width="31.109375" style="5" customWidth="1"/>
    <col min="3" max="3" width="25.21875" style="14" customWidth="1"/>
    <col min="4" max="4" width="41.44140625" style="14" customWidth="1"/>
    <col min="5" max="5" width="29.5546875" style="14" customWidth="1"/>
    <col min="6" max="6" width="16.21875" style="14" customWidth="1"/>
    <col min="7" max="7" width="15.5546875" style="405" customWidth="1"/>
    <col min="8" max="8" width="11.5546875" style="7"/>
    <col min="9" max="9" width="17.44140625" style="7" customWidth="1"/>
    <col min="10" max="10" width="21.77734375" style="7" customWidth="1"/>
    <col min="11" max="11" width="25.44140625" style="7" customWidth="1"/>
    <col min="12" max="12" width="15.44140625" style="7" customWidth="1"/>
    <col min="13" max="13" width="14.5546875" style="411" customWidth="1"/>
    <col min="14" max="14" width="24.5546875" style="11" customWidth="1"/>
    <col min="15" max="15" width="16.33203125" style="11" customWidth="1"/>
    <col min="16" max="16" width="19.77734375" style="11" customWidth="1"/>
    <col min="17" max="17" width="28.33203125" style="11" customWidth="1"/>
    <col min="18" max="18" width="15.77734375" style="11" customWidth="1"/>
    <col min="19" max="20" width="24.33203125" style="6" customWidth="1"/>
    <col min="21" max="23" width="24.33203125" style="7" customWidth="1"/>
    <col min="24" max="24" width="24.33203125" style="60" customWidth="1"/>
    <col min="25" max="26" width="24.33203125" style="6" customWidth="1"/>
    <col min="27" max="30" width="24.33203125" style="7" customWidth="1"/>
    <col min="31" max="31" width="24.33203125" style="45" customWidth="1"/>
    <col min="32" max="36" width="24.33203125" style="7" customWidth="1"/>
    <col min="37" max="38" width="24.33203125" style="6" customWidth="1"/>
    <col min="39" max="42" width="24.33203125" style="7" customWidth="1"/>
    <col min="43" max="43" width="13.77734375" style="6" customWidth="1"/>
    <col min="44" max="44" width="27.21875" style="7" customWidth="1"/>
    <col min="45" max="45" width="21.6640625" style="8" customWidth="1"/>
    <col min="46" max="46" width="11.5546875" style="6"/>
    <col min="47" max="47" width="30.77734375" style="41" customWidth="1"/>
    <col min="48" max="48" width="19.33203125" style="8" customWidth="1"/>
    <col min="49" max="16384" width="11.5546875" style="7"/>
  </cols>
  <sheetData>
    <row r="1" spans="1:48" x14ac:dyDescent="0.3">
      <c r="A1" s="427" t="s">
        <v>29</v>
      </c>
      <c r="B1" s="427"/>
      <c r="C1" s="427"/>
      <c r="D1" s="427"/>
      <c r="E1" s="427"/>
      <c r="F1" s="427"/>
      <c r="G1" s="428" t="s">
        <v>33</v>
      </c>
      <c r="H1" s="428"/>
      <c r="I1" s="428"/>
      <c r="J1" s="428"/>
      <c r="K1" s="428"/>
      <c r="L1" s="428"/>
      <c r="M1" s="429" t="s">
        <v>38</v>
      </c>
      <c r="N1" s="429"/>
      <c r="O1" s="429"/>
      <c r="P1" s="429"/>
      <c r="Q1" s="429"/>
      <c r="R1" s="429"/>
      <c r="S1" s="427" t="s">
        <v>49</v>
      </c>
      <c r="T1" s="427"/>
      <c r="U1" s="427"/>
      <c r="V1" s="427"/>
      <c r="W1" s="427"/>
      <c r="X1" s="427"/>
      <c r="Y1" s="427" t="s">
        <v>54</v>
      </c>
      <c r="Z1" s="427"/>
      <c r="AA1" s="427"/>
      <c r="AB1" s="427"/>
      <c r="AC1" s="427"/>
      <c r="AD1" s="427"/>
      <c r="AE1" s="427" t="s">
        <v>61</v>
      </c>
      <c r="AF1" s="427"/>
      <c r="AG1" s="427"/>
      <c r="AH1" s="427"/>
      <c r="AI1" s="427"/>
      <c r="AJ1" s="427"/>
      <c r="AK1" s="427" t="s">
        <v>83</v>
      </c>
      <c r="AL1" s="427"/>
      <c r="AM1" s="427"/>
      <c r="AN1" s="427"/>
      <c r="AO1" s="427"/>
      <c r="AP1" s="427"/>
      <c r="AQ1" s="424" t="s">
        <v>39</v>
      </c>
      <c r="AR1" s="425"/>
      <c r="AS1" s="426"/>
      <c r="AT1" s="424" t="s">
        <v>76</v>
      </c>
      <c r="AU1" s="425"/>
      <c r="AV1" s="426"/>
    </row>
    <row r="2" spans="1:48" ht="15.6" x14ac:dyDescent="0.3">
      <c r="A2" s="42" t="s">
        <v>84</v>
      </c>
      <c r="B2" s="43" t="s">
        <v>85</v>
      </c>
      <c r="C2" s="35" t="s">
        <v>86</v>
      </c>
      <c r="D2" s="36" t="s">
        <v>87</v>
      </c>
      <c r="E2" s="37" t="s">
        <v>88</v>
      </c>
      <c r="S2" s="5"/>
      <c r="T2" s="5"/>
      <c r="U2" s="14"/>
      <c r="V2" s="14"/>
      <c r="W2" s="14"/>
      <c r="X2" s="59"/>
      <c r="Y2" s="5"/>
      <c r="Z2" s="5"/>
      <c r="AA2" s="14"/>
      <c r="AB2" s="14"/>
      <c r="AC2" s="14"/>
      <c r="AD2" s="14"/>
      <c r="AE2" s="34"/>
      <c r="AF2" s="14"/>
      <c r="AG2" s="14"/>
      <c r="AH2" s="14"/>
      <c r="AI2" s="14"/>
      <c r="AJ2" s="14"/>
      <c r="AK2" s="5"/>
      <c r="AL2" s="5"/>
      <c r="AM2" s="14"/>
      <c r="AN2" s="14"/>
      <c r="AO2" s="14"/>
      <c r="AP2" s="14"/>
      <c r="AQ2" s="9"/>
      <c r="AR2" s="16"/>
      <c r="AS2" s="10"/>
      <c r="AT2" s="9"/>
      <c r="AU2" s="17"/>
      <c r="AV2" s="10"/>
    </row>
    <row r="3" spans="1:48" s="39" customFormat="1" ht="41.4" x14ac:dyDescent="0.3">
      <c r="A3" s="24" t="s">
        <v>1</v>
      </c>
      <c r="B3" s="24" t="s">
        <v>25</v>
      </c>
      <c r="C3" s="13" t="s">
        <v>1</v>
      </c>
      <c r="D3" s="13" t="s">
        <v>26</v>
      </c>
      <c r="E3" s="13" t="s">
        <v>27</v>
      </c>
      <c r="F3" s="13" t="s">
        <v>28</v>
      </c>
      <c r="G3" s="406" t="s">
        <v>30</v>
      </c>
      <c r="H3" s="13" t="s">
        <v>25</v>
      </c>
      <c r="I3" s="13" t="s">
        <v>30</v>
      </c>
      <c r="J3" s="13" t="s">
        <v>31</v>
      </c>
      <c r="K3" s="13" t="s">
        <v>27</v>
      </c>
      <c r="L3" s="13" t="s">
        <v>32</v>
      </c>
      <c r="M3" s="406" t="s">
        <v>34</v>
      </c>
      <c r="N3" s="13" t="s">
        <v>37</v>
      </c>
      <c r="O3" s="13" t="s">
        <v>34</v>
      </c>
      <c r="P3" s="13" t="s">
        <v>35</v>
      </c>
      <c r="Q3" s="13" t="s">
        <v>36</v>
      </c>
      <c r="R3" s="13" t="s">
        <v>32</v>
      </c>
      <c r="S3" s="24" t="s">
        <v>1</v>
      </c>
      <c r="T3" s="24" t="s">
        <v>25</v>
      </c>
      <c r="U3" s="13" t="s">
        <v>1</v>
      </c>
      <c r="V3" s="13" t="s">
        <v>26</v>
      </c>
      <c r="W3" s="13" t="s">
        <v>27</v>
      </c>
      <c r="X3" s="13" t="s">
        <v>28</v>
      </c>
      <c r="Y3" s="24" t="s">
        <v>1</v>
      </c>
      <c r="Z3" s="24" t="s">
        <v>25</v>
      </c>
      <c r="AA3" s="13" t="s">
        <v>1</v>
      </c>
      <c r="AB3" s="13" t="s">
        <v>26</v>
      </c>
      <c r="AC3" s="13" t="s">
        <v>27</v>
      </c>
      <c r="AD3" s="13" t="s">
        <v>28</v>
      </c>
      <c r="AE3" s="31" t="s">
        <v>1</v>
      </c>
      <c r="AF3" s="13" t="s">
        <v>25</v>
      </c>
      <c r="AG3" s="13" t="s">
        <v>1</v>
      </c>
      <c r="AH3" s="13" t="s">
        <v>26</v>
      </c>
      <c r="AI3" s="13" t="s">
        <v>27</v>
      </c>
      <c r="AJ3" s="13" t="s">
        <v>28</v>
      </c>
      <c r="AK3" s="24" t="s">
        <v>1</v>
      </c>
      <c r="AL3" s="24" t="s">
        <v>25</v>
      </c>
      <c r="AM3" s="13" t="s">
        <v>1</v>
      </c>
      <c r="AN3" s="13" t="s">
        <v>26</v>
      </c>
      <c r="AO3" s="13" t="s">
        <v>27</v>
      </c>
      <c r="AP3" s="13" t="s">
        <v>28</v>
      </c>
      <c r="AQ3" s="26" t="s">
        <v>40</v>
      </c>
      <c r="AR3" s="13" t="s">
        <v>42</v>
      </c>
      <c r="AS3" s="49" t="s">
        <v>90</v>
      </c>
      <c r="AT3" s="26" t="s">
        <v>40</v>
      </c>
      <c r="AU3" s="38" t="s">
        <v>77</v>
      </c>
      <c r="AV3" s="49" t="s">
        <v>89</v>
      </c>
    </row>
    <row r="4" spans="1:48" s="39" customFormat="1" x14ac:dyDescent="0.3">
      <c r="A4" s="26" t="s">
        <v>2</v>
      </c>
      <c r="B4" s="44" t="s">
        <v>3</v>
      </c>
      <c r="C4" s="18" t="s">
        <v>2</v>
      </c>
      <c r="D4" s="18" t="s">
        <v>6</v>
      </c>
      <c r="E4" s="18" t="s">
        <v>5</v>
      </c>
      <c r="F4" s="18" t="s">
        <v>20</v>
      </c>
      <c r="G4" s="407" t="s">
        <v>14</v>
      </c>
      <c r="H4" s="404" t="s">
        <v>15</v>
      </c>
      <c r="I4" s="28" t="s">
        <v>14</v>
      </c>
      <c r="J4" s="18" t="s">
        <v>16</v>
      </c>
      <c r="K4" s="28" t="s">
        <v>17</v>
      </c>
      <c r="L4" s="28" t="s">
        <v>18</v>
      </c>
      <c r="M4" s="412" t="s">
        <v>7</v>
      </c>
      <c r="N4" s="18" t="s">
        <v>3</v>
      </c>
      <c r="O4" s="18" t="s">
        <v>7</v>
      </c>
      <c r="P4" s="18" t="s">
        <v>9</v>
      </c>
      <c r="Q4" s="18" t="s">
        <v>10</v>
      </c>
      <c r="R4" s="18" t="s">
        <v>19</v>
      </c>
      <c r="S4" s="26" t="s">
        <v>2</v>
      </c>
      <c r="T4" s="44" t="s">
        <v>3</v>
      </c>
      <c r="U4" s="18" t="s">
        <v>2</v>
      </c>
      <c r="V4" s="18" t="s">
        <v>6</v>
      </c>
      <c r="W4" s="18" t="s">
        <v>5</v>
      </c>
      <c r="X4" s="18" t="s">
        <v>20</v>
      </c>
      <c r="Y4" s="26" t="s">
        <v>2</v>
      </c>
      <c r="Z4" s="44" t="s">
        <v>68</v>
      </c>
      <c r="AA4" s="18" t="s">
        <v>2</v>
      </c>
      <c r="AB4" s="18" t="s">
        <v>6</v>
      </c>
      <c r="AC4" s="18" t="s">
        <v>5</v>
      </c>
      <c r="AD4" s="18" t="s">
        <v>20</v>
      </c>
      <c r="AE4" s="32" t="s">
        <v>2</v>
      </c>
      <c r="AF4" s="19" t="s">
        <v>75</v>
      </c>
      <c r="AG4" s="18" t="s">
        <v>2</v>
      </c>
      <c r="AH4" s="18" t="s">
        <v>6</v>
      </c>
      <c r="AI4" s="18" t="s">
        <v>5</v>
      </c>
      <c r="AJ4" s="18" t="s">
        <v>20</v>
      </c>
      <c r="AK4" s="26" t="s">
        <v>2</v>
      </c>
      <c r="AL4" s="44" t="s">
        <v>69</v>
      </c>
      <c r="AM4" s="18" t="s">
        <v>2</v>
      </c>
      <c r="AN4" s="18" t="s">
        <v>6</v>
      </c>
      <c r="AO4" s="18" t="s">
        <v>5</v>
      </c>
      <c r="AP4" s="18" t="s">
        <v>20</v>
      </c>
      <c r="AQ4" s="26" t="s">
        <v>41</v>
      </c>
      <c r="AR4" s="18" t="s">
        <v>13</v>
      </c>
      <c r="AS4" s="27" t="s">
        <v>43</v>
      </c>
      <c r="AT4" s="26" t="s">
        <v>41</v>
      </c>
      <c r="AU4" s="38" t="s">
        <v>3</v>
      </c>
      <c r="AV4" s="27" t="s">
        <v>78</v>
      </c>
    </row>
    <row r="5" spans="1:48" ht="15" x14ac:dyDescent="0.3">
      <c r="A5" s="22" t="s">
        <v>0</v>
      </c>
      <c r="B5" s="25" t="s">
        <v>4</v>
      </c>
      <c r="C5" s="20" t="s">
        <v>0</v>
      </c>
      <c r="D5" s="21">
        <v>1500000000</v>
      </c>
      <c r="E5" s="51">
        <v>1.25E-4</v>
      </c>
      <c r="F5" s="51">
        <v>0.72</v>
      </c>
      <c r="G5" s="408" t="s">
        <v>8</v>
      </c>
      <c r="H5" s="57" t="s">
        <v>94</v>
      </c>
      <c r="I5" s="20" t="s">
        <v>8</v>
      </c>
      <c r="J5" s="21">
        <v>50000</v>
      </c>
      <c r="K5" s="51">
        <v>1.25E-4</v>
      </c>
      <c r="L5" s="51">
        <v>31</v>
      </c>
      <c r="M5" s="408" t="s">
        <v>8</v>
      </c>
      <c r="N5" s="62" t="s">
        <v>101</v>
      </c>
      <c r="O5" s="63" t="s">
        <v>8</v>
      </c>
      <c r="P5" s="64">
        <v>50000</v>
      </c>
      <c r="Q5" s="51">
        <v>1.25E-4</v>
      </c>
      <c r="R5" s="413">
        <v>12.62</v>
      </c>
      <c r="S5" s="22" t="s">
        <v>48</v>
      </c>
      <c r="T5" s="25" t="s">
        <v>4</v>
      </c>
      <c r="U5" s="20" t="s">
        <v>48</v>
      </c>
      <c r="V5" s="21">
        <v>50000</v>
      </c>
      <c r="W5" s="51">
        <v>1.25E-4</v>
      </c>
      <c r="X5" s="51">
        <v>0.72</v>
      </c>
      <c r="Y5" s="30" t="s">
        <v>58</v>
      </c>
      <c r="Z5" s="25" t="s">
        <v>57</v>
      </c>
      <c r="AA5" s="20" t="s">
        <v>58</v>
      </c>
      <c r="AB5" s="21" t="s">
        <v>111</v>
      </c>
      <c r="AC5" s="21" t="s">
        <v>111</v>
      </c>
      <c r="AD5" s="21" t="s">
        <v>111</v>
      </c>
      <c r="AE5" s="33" t="s">
        <v>62</v>
      </c>
      <c r="AF5" s="53" t="s">
        <v>64</v>
      </c>
      <c r="AG5" s="20" t="s">
        <v>62</v>
      </c>
      <c r="AH5" s="21" t="s">
        <v>111</v>
      </c>
      <c r="AI5" s="21" t="s">
        <v>111</v>
      </c>
      <c r="AJ5" s="21" t="s">
        <v>111</v>
      </c>
      <c r="AK5" s="22" t="s">
        <v>70</v>
      </c>
      <c r="AL5" s="47" t="s">
        <v>71</v>
      </c>
      <c r="AM5" s="20" t="s">
        <v>70</v>
      </c>
      <c r="AN5" s="21" t="s">
        <v>111</v>
      </c>
      <c r="AO5" s="21" t="s">
        <v>111</v>
      </c>
      <c r="AP5" s="21" t="s">
        <v>111</v>
      </c>
      <c r="AQ5" s="25" t="s">
        <v>11</v>
      </c>
      <c r="AR5" s="21" t="s">
        <v>8</v>
      </c>
      <c r="AS5" s="23">
        <v>7</v>
      </c>
      <c r="AT5" s="47" t="s">
        <v>11</v>
      </c>
      <c r="AU5" s="63" t="s">
        <v>80</v>
      </c>
      <c r="AV5" s="50">
        <v>3.2</v>
      </c>
    </row>
    <row r="6" spans="1:48" ht="15" x14ac:dyDescent="0.3">
      <c r="A6" s="22" t="s">
        <v>45</v>
      </c>
      <c r="B6" s="25" t="s">
        <v>44</v>
      </c>
      <c r="C6" s="20" t="s">
        <v>45</v>
      </c>
      <c r="D6" s="21">
        <v>1500000000</v>
      </c>
      <c r="E6" s="21">
        <v>3.7499999999999999E-3</v>
      </c>
      <c r="F6" s="51" t="s">
        <v>93</v>
      </c>
      <c r="G6" s="408"/>
      <c r="H6" s="57" t="s">
        <v>95</v>
      </c>
      <c r="I6" s="20" t="s">
        <v>8</v>
      </c>
      <c r="J6" s="21">
        <v>50000</v>
      </c>
      <c r="K6" s="51">
        <v>1.25E-4</v>
      </c>
      <c r="L6" s="51">
        <v>30</v>
      </c>
      <c r="M6" s="408"/>
      <c r="N6" s="62" t="s">
        <v>102</v>
      </c>
      <c r="O6" s="63" t="s">
        <v>8</v>
      </c>
      <c r="P6" s="64">
        <v>50000</v>
      </c>
      <c r="Q6" s="51">
        <v>1.25E-4</v>
      </c>
      <c r="R6" s="413">
        <v>13.754</v>
      </c>
      <c r="S6" s="22" t="s">
        <v>50</v>
      </c>
      <c r="T6" s="25" t="s">
        <v>44</v>
      </c>
      <c r="U6" s="20" t="s">
        <v>50</v>
      </c>
      <c r="V6" s="21">
        <v>50000</v>
      </c>
      <c r="W6" s="21">
        <v>3.7499999999999999E-3</v>
      </c>
      <c r="X6" s="21" t="s">
        <v>111</v>
      </c>
      <c r="Y6" s="30" t="s">
        <v>55</v>
      </c>
      <c r="Z6" s="25" t="s">
        <v>56</v>
      </c>
      <c r="AA6" s="20" t="s">
        <v>55</v>
      </c>
      <c r="AB6" s="21" t="s">
        <v>111</v>
      </c>
      <c r="AC6" s="21" t="s">
        <v>111</v>
      </c>
      <c r="AD6" s="21" t="s">
        <v>111</v>
      </c>
      <c r="AE6" s="46"/>
      <c r="AF6" s="53" t="s">
        <v>65</v>
      </c>
      <c r="AG6" s="20" t="s">
        <v>62</v>
      </c>
      <c r="AH6" s="21" t="s">
        <v>111</v>
      </c>
      <c r="AI6" s="21" t="s">
        <v>111</v>
      </c>
      <c r="AJ6" s="21" t="s">
        <v>111</v>
      </c>
      <c r="AK6" s="3"/>
      <c r="AL6" s="47" t="s">
        <v>72</v>
      </c>
      <c r="AM6" s="20" t="s">
        <v>70</v>
      </c>
      <c r="AN6" s="21" t="s">
        <v>111</v>
      </c>
      <c r="AO6" s="21" t="s">
        <v>111</v>
      </c>
      <c r="AP6" s="21" t="s">
        <v>111</v>
      </c>
      <c r="AQ6" s="25" t="s">
        <v>11</v>
      </c>
      <c r="AR6" s="21" t="s">
        <v>0</v>
      </c>
      <c r="AS6" s="23">
        <v>7</v>
      </c>
      <c r="AT6" s="47" t="s">
        <v>11</v>
      </c>
      <c r="AU6" s="62" t="s">
        <v>101</v>
      </c>
      <c r="AV6" s="50">
        <v>2</v>
      </c>
    </row>
    <row r="7" spans="1:48" ht="15" x14ac:dyDescent="0.3">
      <c r="A7" s="22" t="s">
        <v>47</v>
      </c>
      <c r="B7" s="25" t="s">
        <v>46</v>
      </c>
      <c r="C7" s="20" t="s">
        <v>47</v>
      </c>
      <c r="D7" s="21">
        <v>1500000000</v>
      </c>
      <c r="E7" s="21">
        <v>3.7499999999999999E-3</v>
      </c>
      <c r="F7" s="51" t="s">
        <v>93</v>
      </c>
      <c r="G7" s="409"/>
      <c r="H7" s="57" t="s">
        <v>96</v>
      </c>
      <c r="I7" s="20" t="s">
        <v>8</v>
      </c>
      <c r="J7" s="21">
        <v>50000</v>
      </c>
      <c r="K7" s="51">
        <v>1.25E-4</v>
      </c>
      <c r="L7" s="51">
        <v>62</v>
      </c>
      <c r="M7" s="409"/>
      <c r="N7" s="62" t="s">
        <v>103</v>
      </c>
      <c r="O7" s="63" t="s">
        <v>8</v>
      </c>
      <c r="P7" s="64">
        <v>50000</v>
      </c>
      <c r="Q7" s="51">
        <v>1.25E-4</v>
      </c>
      <c r="R7" s="413">
        <v>1.54</v>
      </c>
      <c r="S7" s="22" t="s">
        <v>51</v>
      </c>
      <c r="T7" s="25" t="s">
        <v>46</v>
      </c>
      <c r="U7" s="20" t="s">
        <v>51</v>
      </c>
      <c r="V7" s="21">
        <v>50000</v>
      </c>
      <c r="W7" s="21">
        <v>3.7499999999999999E-3</v>
      </c>
      <c r="X7" s="21" t="s">
        <v>111</v>
      </c>
      <c r="Y7" s="30" t="s">
        <v>60</v>
      </c>
      <c r="Z7" s="25" t="s">
        <v>59</v>
      </c>
      <c r="AA7" s="20" t="s">
        <v>60</v>
      </c>
      <c r="AB7" s="21" t="s">
        <v>111</v>
      </c>
      <c r="AC7" s="21" t="s">
        <v>111</v>
      </c>
      <c r="AD7" s="21" t="s">
        <v>111</v>
      </c>
      <c r="AE7" s="46"/>
      <c r="AF7" s="53" t="s">
        <v>66</v>
      </c>
      <c r="AG7" s="20" t="s">
        <v>62</v>
      </c>
      <c r="AH7" s="21" t="s">
        <v>111</v>
      </c>
      <c r="AI7" s="21" t="s">
        <v>111</v>
      </c>
      <c r="AJ7" s="21" t="s">
        <v>111</v>
      </c>
      <c r="AK7" s="3"/>
      <c r="AL7" s="47" t="s">
        <v>73</v>
      </c>
      <c r="AM7" s="20" t="s">
        <v>70</v>
      </c>
      <c r="AN7" s="21" t="s">
        <v>111</v>
      </c>
      <c r="AO7" s="21" t="s">
        <v>111</v>
      </c>
      <c r="AP7" s="21" t="s">
        <v>111</v>
      </c>
      <c r="AQ7" s="25" t="s">
        <v>11</v>
      </c>
      <c r="AR7" s="21" t="s">
        <v>45</v>
      </c>
      <c r="AS7" s="23">
        <v>7</v>
      </c>
      <c r="AT7" s="47" t="s">
        <v>11</v>
      </c>
      <c r="AU7" s="62" t="s">
        <v>102</v>
      </c>
      <c r="AV7" s="50">
        <v>0.45</v>
      </c>
    </row>
    <row r="8" spans="1:48" ht="15" x14ac:dyDescent="0.3">
      <c r="A8" s="3"/>
      <c r="B8" s="3"/>
      <c r="C8" s="15"/>
      <c r="D8" s="15"/>
      <c r="E8" s="15"/>
      <c r="F8" s="56"/>
      <c r="G8" s="409"/>
      <c r="H8" s="57" t="s">
        <v>97</v>
      </c>
      <c r="I8" s="20" t="s">
        <v>8</v>
      </c>
      <c r="J8" s="21">
        <v>50000</v>
      </c>
      <c r="K8" s="51">
        <v>1.25E-4</v>
      </c>
      <c r="L8" s="51">
        <v>31</v>
      </c>
      <c r="M8" s="409"/>
      <c r="N8" s="62" t="s">
        <v>104</v>
      </c>
      <c r="O8" s="63" t="s">
        <v>8</v>
      </c>
      <c r="P8" s="64">
        <v>50000</v>
      </c>
      <c r="Q8" s="51">
        <v>1.25E-4</v>
      </c>
      <c r="R8" s="413">
        <v>8.1199999999999992</v>
      </c>
      <c r="S8" s="22" t="s">
        <v>53</v>
      </c>
      <c r="T8" s="25" t="s">
        <v>52</v>
      </c>
      <c r="U8" s="20" t="s">
        <v>53</v>
      </c>
      <c r="V8" s="21">
        <v>50000</v>
      </c>
      <c r="W8" s="51">
        <v>1.25E-4</v>
      </c>
      <c r="X8" s="51">
        <v>0.12</v>
      </c>
      <c r="AE8" s="46"/>
      <c r="AF8" s="53" t="s">
        <v>67</v>
      </c>
      <c r="AG8" s="20" t="s">
        <v>62</v>
      </c>
      <c r="AH8" s="21" t="s">
        <v>111</v>
      </c>
      <c r="AI8" s="21" t="s">
        <v>111</v>
      </c>
      <c r="AJ8" s="21" t="s">
        <v>111</v>
      </c>
      <c r="AK8" s="3"/>
      <c r="AL8" s="48" t="s">
        <v>74</v>
      </c>
      <c r="AM8" s="20" t="s">
        <v>70</v>
      </c>
      <c r="AN8" s="21" t="s">
        <v>111</v>
      </c>
      <c r="AO8" s="21" t="s">
        <v>111</v>
      </c>
      <c r="AP8" s="21" t="s">
        <v>111</v>
      </c>
      <c r="AQ8" s="25" t="s">
        <v>11</v>
      </c>
      <c r="AR8" s="21" t="s">
        <v>47</v>
      </c>
      <c r="AS8" s="23">
        <v>7</v>
      </c>
      <c r="AT8" s="47" t="s">
        <v>11</v>
      </c>
      <c r="AU8" s="62" t="s">
        <v>103</v>
      </c>
      <c r="AV8" s="50">
        <v>0.22500000000000001</v>
      </c>
    </row>
    <row r="9" spans="1:48" ht="15" x14ac:dyDescent="0.3">
      <c r="G9" s="409"/>
      <c r="H9" s="56"/>
      <c r="I9" s="15"/>
      <c r="J9" s="15"/>
      <c r="K9" s="16"/>
      <c r="L9" s="56"/>
      <c r="M9" s="409"/>
      <c r="N9" s="62" t="s">
        <v>105</v>
      </c>
      <c r="O9" s="63" t="s">
        <v>8</v>
      </c>
      <c r="P9" s="64">
        <v>50000</v>
      </c>
      <c r="Q9" s="51">
        <v>1.25E-4</v>
      </c>
      <c r="R9" s="413">
        <v>20</v>
      </c>
      <c r="AE9" s="46"/>
      <c r="AF9" s="53" t="s">
        <v>63</v>
      </c>
      <c r="AG9" s="20" t="s">
        <v>62</v>
      </c>
      <c r="AH9" s="21" t="s">
        <v>111</v>
      </c>
      <c r="AI9" s="21" t="s">
        <v>111</v>
      </c>
      <c r="AJ9" s="21" t="s">
        <v>111</v>
      </c>
      <c r="AQ9" s="25" t="s">
        <v>11</v>
      </c>
      <c r="AR9" s="21" t="s">
        <v>48</v>
      </c>
      <c r="AS9" s="23">
        <v>7</v>
      </c>
      <c r="AT9" s="47" t="s">
        <v>11</v>
      </c>
      <c r="AU9" s="62" t="s">
        <v>104</v>
      </c>
      <c r="AV9" s="50">
        <v>0.22500000000000001</v>
      </c>
    </row>
    <row r="10" spans="1:48" ht="15" x14ac:dyDescent="0.3">
      <c r="G10" s="409"/>
      <c r="H10" s="56"/>
      <c r="I10" s="15"/>
      <c r="J10" s="15"/>
      <c r="K10" s="16"/>
      <c r="L10" s="56"/>
      <c r="M10" s="409"/>
      <c r="N10" s="53" t="s">
        <v>106</v>
      </c>
      <c r="O10" s="63" t="s">
        <v>8</v>
      </c>
      <c r="P10" s="64">
        <v>50000</v>
      </c>
      <c r="Q10" s="51">
        <v>1.25E-4</v>
      </c>
      <c r="R10" s="65">
        <v>12.62</v>
      </c>
      <c r="AN10" s="55"/>
      <c r="AO10" s="14"/>
      <c r="AQ10" s="25" t="s">
        <v>11</v>
      </c>
      <c r="AR10" s="21" t="s">
        <v>50</v>
      </c>
      <c r="AS10" s="23">
        <v>7</v>
      </c>
      <c r="AT10" s="47" t="s">
        <v>11</v>
      </c>
      <c r="AU10" s="62" t="s">
        <v>105</v>
      </c>
      <c r="AV10" s="50">
        <v>10.25</v>
      </c>
    </row>
    <row r="11" spans="1:48" ht="15" x14ac:dyDescent="0.3">
      <c r="G11" s="409"/>
      <c r="H11" s="61"/>
      <c r="I11" s="15"/>
      <c r="J11" s="15"/>
      <c r="K11" s="16"/>
      <c r="L11" s="61"/>
      <c r="M11" s="409"/>
      <c r="N11" s="53" t="s">
        <v>107</v>
      </c>
      <c r="O11" s="63" t="s">
        <v>8</v>
      </c>
      <c r="P11" s="64">
        <v>50000</v>
      </c>
      <c r="Q11" s="51">
        <v>1.25E-4</v>
      </c>
      <c r="R11" s="65">
        <v>13.754</v>
      </c>
      <c r="AN11" s="55"/>
      <c r="AO11" s="14"/>
      <c r="AQ11" s="25" t="s">
        <v>11</v>
      </c>
      <c r="AR11" s="21" t="s">
        <v>51</v>
      </c>
      <c r="AS11" s="23">
        <v>7</v>
      </c>
      <c r="AT11" s="47" t="s">
        <v>11</v>
      </c>
      <c r="AU11" s="53" t="s">
        <v>106</v>
      </c>
      <c r="AV11" s="50">
        <v>1.6</v>
      </c>
    </row>
    <row r="12" spans="1:48" ht="15" x14ac:dyDescent="0.3">
      <c r="G12" s="409"/>
      <c r="H12" s="56"/>
      <c r="I12" s="15"/>
      <c r="J12" s="15"/>
      <c r="K12" s="16"/>
      <c r="L12" s="56"/>
      <c r="M12" s="409"/>
      <c r="N12" s="53" t="s">
        <v>108</v>
      </c>
      <c r="O12" s="63" t="s">
        <v>8</v>
      </c>
      <c r="P12" s="64">
        <v>50000</v>
      </c>
      <c r="Q12" s="51">
        <v>1.25E-4</v>
      </c>
      <c r="R12" s="65">
        <v>1.53</v>
      </c>
      <c r="AN12" s="55"/>
      <c r="AO12" s="14"/>
      <c r="AQ12" s="25" t="s">
        <v>11</v>
      </c>
      <c r="AR12" s="21" t="s">
        <v>53</v>
      </c>
      <c r="AS12" s="23">
        <v>7</v>
      </c>
      <c r="AT12" s="47" t="s">
        <v>11</v>
      </c>
      <c r="AU12" s="53" t="s">
        <v>107</v>
      </c>
      <c r="AV12" s="50">
        <v>2.9</v>
      </c>
    </row>
    <row r="13" spans="1:48" ht="15" x14ac:dyDescent="0.3">
      <c r="G13" s="409"/>
      <c r="H13" s="56"/>
      <c r="I13" s="15"/>
      <c r="J13" s="15"/>
      <c r="K13" s="16"/>
      <c r="L13" s="56"/>
      <c r="M13" s="409"/>
      <c r="N13" s="53" t="s">
        <v>109</v>
      </c>
      <c r="O13" s="63" t="s">
        <v>8</v>
      </c>
      <c r="P13" s="64">
        <v>50000</v>
      </c>
      <c r="Q13" s="51">
        <v>1.25E-4</v>
      </c>
      <c r="R13" s="65">
        <v>8.1199999999999992</v>
      </c>
      <c r="AN13" s="55"/>
      <c r="AO13" s="14"/>
      <c r="AQ13" s="25" t="s">
        <v>12</v>
      </c>
      <c r="AR13" s="21" t="s">
        <v>8</v>
      </c>
      <c r="AS13" s="23">
        <v>7</v>
      </c>
      <c r="AT13" s="47" t="s">
        <v>11</v>
      </c>
      <c r="AU13" s="53" t="s">
        <v>108</v>
      </c>
      <c r="AV13" s="50">
        <v>0.18</v>
      </c>
    </row>
    <row r="14" spans="1:48" ht="15" x14ac:dyDescent="0.3">
      <c r="G14" s="409"/>
      <c r="H14" s="56"/>
      <c r="I14" s="15"/>
      <c r="J14" s="15"/>
      <c r="K14" s="16"/>
      <c r="L14" s="56"/>
      <c r="M14" s="409"/>
      <c r="N14" s="53" t="s">
        <v>110</v>
      </c>
      <c r="O14" s="63" t="s">
        <v>8</v>
      </c>
      <c r="P14" s="64">
        <v>50000</v>
      </c>
      <c r="Q14" s="51">
        <v>1.25E-4</v>
      </c>
      <c r="R14" s="65">
        <v>20</v>
      </c>
      <c r="AN14" s="14"/>
      <c r="AO14" s="14"/>
      <c r="AQ14" s="25" t="s">
        <v>12</v>
      </c>
      <c r="AR14" s="21" t="s">
        <v>0</v>
      </c>
      <c r="AS14" s="23">
        <v>7</v>
      </c>
      <c r="AT14" s="47" t="s">
        <v>11</v>
      </c>
      <c r="AU14" s="53" t="s">
        <v>109</v>
      </c>
      <c r="AV14" s="50">
        <v>0.18</v>
      </c>
    </row>
    <row r="15" spans="1:48" ht="15" x14ac:dyDescent="0.3">
      <c r="G15" s="409"/>
      <c r="H15" s="56"/>
      <c r="I15" s="15"/>
      <c r="J15" s="15"/>
      <c r="K15" s="16"/>
      <c r="L15" s="56"/>
      <c r="M15" s="409"/>
      <c r="N15" s="15"/>
      <c r="O15" s="15"/>
      <c r="P15" s="15"/>
      <c r="Q15" s="15"/>
      <c r="R15" s="56"/>
      <c r="AN15" s="14"/>
      <c r="AO15" s="14"/>
      <c r="AQ15" s="25" t="s">
        <v>12</v>
      </c>
      <c r="AR15" s="21" t="s">
        <v>45</v>
      </c>
      <c r="AS15" s="23">
        <v>7</v>
      </c>
      <c r="AT15" s="47" t="s">
        <v>11</v>
      </c>
      <c r="AU15" s="53" t="s">
        <v>110</v>
      </c>
      <c r="AV15" s="50">
        <v>8.1999999999999993</v>
      </c>
    </row>
    <row r="16" spans="1:48" ht="15" x14ac:dyDescent="0.3">
      <c r="G16" s="409"/>
      <c r="H16" s="56"/>
      <c r="I16" s="15"/>
      <c r="J16" s="15"/>
      <c r="K16" s="16"/>
      <c r="L16" s="56"/>
      <c r="M16" s="409"/>
      <c r="N16" s="15"/>
      <c r="O16" s="15"/>
      <c r="P16" s="15"/>
      <c r="Q16" s="15"/>
      <c r="R16" s="56"/>
      <c r="AN16" s="14"/>
      <c r="AO16" s="14"/>
      <c r="AQ16" s="25" t="s">
        <v>12</v>
      </c>
      <c r="AR16" s="21" t="s">
        <v>47</v>
      </c>
      <c r="AS16" s="23">
        <v>7</v>
      </c>
      <c r="AT16" s="47" t="s">
        <v>11</v>
      </c>
      <c r="AU16" s="63" t="s">
        <v>79</v>
      </c>
      <c r="AV16" s="50">
        <v>0.16</v>
      </c>
    </row>
    <row r="17" spans="8:48" ht="15" x14ac:dyDescent="0.3">
      <c r="H17" s="56"/>
      <c r="I17" s="15"/>
      <c r="J17" s="15"/>
      <c r="K17" s="16"/>
      <c r="L17" s="56"/>
      <c r="M17" s="409"/>
      <c r="N17" s="15"/>
      <c r="O17" s="15"/>
      <c r="P17" s="15"/>
      <c r="Q17" s="15"/>
      <c r="R17" s="56"/>
      <c r="AN17" s="14"/>
      <c r="AO17" s="14"/>
      <c r="AQ17" s="25" t="s">
        <v>12</v>
      </c>
      <c r="AR17" s="21" t="s">
        <v>48</v>
      </c>
      <c r="AS17" s="23">
        <v>7</v>
      </c>
      <c r="AT17" s="47" t="s">
        <v>12</v>
      </c>
      <c r="AU17" s="63" t="s">
        <v>80</v>
      </c>
      <c r="AV17" s="50">
        <v>3.2</v>
      </c>
    </row>
    <row r="18" spans="8:48" ht="15" x14ac:dyDescent="0.3">
      <c r="H18" s="61"/>
      <c r="I18" s="15"/>
      <c r="J18" s="15"/>
      <c r="K18" s="16"/>
      <c r="L18" s="61"/>
      <c r="M18" s="409"/>
      <c r="N18" s="410"/>
      <c r="O18" s="15"/>
      <c r="P18" s="15"/>
      <c r="Q18" s="15"/>
      <c r="R18" s="56"/>
      <c r="AQ18" s="25" t="s">
        <v>12</v>
      </c>
      <c r="AR18" s="21" t="s">
        <v>50</v>
      </c>
      <c r="AS18" s="23">
        <v>7</v>
      </c>
      <c r="AT18" s="47" t="s">
        <v>12</v>
      </c>
      <c r="AU18" s="62" t="s">
        <v>101</v>
      </c>
      <c r="AV18" s="50">
        <v>2</v>
      </c>
    </row>
    <row r="19" spans="8:48" ht="15" x14ac:dyDescent="0.3">
      <c r="H19" s="56"/>
      <c r="I19" s="15"/>
      <c r="J19" s="15"/>
      <c r="K19" s="16"/>
      <c r="L19" s="4"/>
      <c r="M19" s="409"/>
      <c r="N19" s="15"/>
      <c r="O19" s="15"/>
      <c r="P19" s="15"/>
      <c r="Q19" s="15"/>
      <c r="R19" s="67"/>
      <c r="AQ19" s="25" t="s">
        <v>12</v>
      </c>
      <c r="AR19" s="21" t="s">
        <v>51</v>
      </c>
      <c r="AS19" s="23">
        <v>7</v>
      </c>
      <c r="AT19" s="47" t="s">
        <v>12</v>
      </c>
      <c r="AU19" s="62" t="s">
        <v>102</v>
      </c>
      <c r="AV19" s="50">
        <v>0.45</v>
      </c>
    </row>
    <row r="20" spans="8:48" ht="15" x14ac:dyDescent="0.3">
      <c r="H20" s="56"/>
      <c r="I20" s="15"/>
      <c r="J20" s="15"/>
      <c r="K20" s="16"/>
      <c r="L20" s="4"/>
      <c r="M20" s="409"/>
      <c r="N20" s="15"/>
      <c r="O20" s="15"/>
      <c r="P20" s="15"/>
      <c r="Q20" s="15"/>
      <c r="R20" s="67"/>
      <c r="AQ20" s="25" t="s">
        <v>12</v>
      </c>
      <c r="AR20" s="21" t="s">
        <v>53</v>
      </c>
      <c r="AS20" s="23">
        <v>7</v>
      </c>
      <c r="AT20" s="47" t="s">
        <v>12</v>
      </c>
      <c r="AU20" s="62" t="s">
        <v>103</v>
      </c>
      <c r="AV20" s="50">
        <v>0.22500000000000001</v>
      </c>
    </row>
    <row r="21" spans="8:48" ht="15" x14ac:dyDescent="0.3">
      <c r="H21" s="56"/>
      <c r="I21" s="15"/>
      <c r="J21" s="15"/>
      <c r="K21" s="16"/>
      <c r="L21" s="4"/>
      <c r="M21" s="409"/>
      <c r="N21" s="15"/>
      <c r="O21" s="15"/>
      <c r="P21" s="15"/>
      <c r="Q21" s="15"/>
      <c r="R21" s="67"/>
      <c r="AQ21" s="25" t="s">
        <v>271</v>
      </c>
      <c r="AR21" s="21" t="s">
        <v>8</v>
      </c>
      <c r="AS21" s="23">
        <v>7</v>
      </c>
      <c r="AT21" s="47" t="s">
        <v>12</v>
      </c>
      <c r="AU21" s="62" t="s">
        <v>104</v>
      </c>
      <c r="AV21" s="50">
        <v>0.22500000000000001</v>
      </c>
    </row>
    <row r="22" spans="8:48" ht="15" x14ac:dyDescent="0.3">
      <c r="H22" s="56"/>
      <c r="I22" s="15"/>
      <c r="J22" s="15"/>
      <c r="K22" s="16"/>
      <c r="L22" s="4"/>
      <c r="M22" s="409"/>
      <c r="N22" s="15"/>
      <c r="O22" s="15"/>
      <c r="P22" s="15"/>
      <c r="Q22" s="15"/>
      <c r="R22" s="67"/>
      <c r="AQ22" s="25" t="s">
        <v>271</v>
      </c>
      <c r="AR22" s="21" t="s">
        <v>0</v>
      </c>
      <c r="AS22" s="23">
        <v>7</v>
      </c>
      <c r="AT22" s="47" t="s">
        <v>12</v>
      </c>
      <c r="AU22" s="62" t="s">
        <v>105</v>
      </c>
      <c r="AV22" s="50">
        <v>10.25</v>
      </c>
    </row>
    <row r="23" spans="8:48" ht="15" x14ac:dyDescent="0.3">
      <c r="H23" s="56"/>
      <c r="I23" s="15"/>
      <c r="J23" s="15"/>
      <c r="K23" s="16"/>
      <c r="L23" s="4"/>
      <c r="M23" s="409"/>
      <c r="N23" s="15"/>
      <c r="O23" s="15"/>
      <c r="P23" s="15"/>
      <c r="Q23" s="15"/>
      <c r="R23" s="67"/>
      <c r="AQ23" s="25" t="s">
        <v>271</v>
      </c>
      <c r="AR23" s="21" t="s">
        <v>45</v>
      </c>
      <c r="AS23" s="23">
        <v>7</v>
      </c>
      <c r="AT23" s="47" t="s">
        <v>12</v>
      </c>
      <c r="AU23" s="53" t="s">
        <v>106</v>
      </c>
      <c r="AV23" s="50">
        <v>1.6</v>
      </c>
    </row>
    <row r="24" spans="8:48" ht="15" x14ac:dyDescent="0.3">
      <c r="H24" s="56"/>
      <c r="I24" s="15"/>
      <c r="J24" s="15"/>
      <c r="K24" s="16"/>
      <c r="L24" s="4"/>
      <c r="M24" s="409"/>
      <c r="N24" s="15"/>
      <c r="O24" s="15"/>
      <c r="P24" s="15"/>
      <c r="Q24" s="15"/>
      <c r="R24" s="67"/>
      <c r="AQ24" s="25" t="s">
        <v>271</v>
      </c>
      <c r="AR24" s="21" t="s">
        <v>47</v>
      </c>
      <c r="AS24" s="23">
        <v>7</v>
      </c>
      <c r="AT24" s="47" t="s">
        <v>12</v>
      </c>
      <c r="AU24" s="53" t="s">
        <v>107</v>
      </c>
      <c r="AV24" s="50">
        <v>2.9</v>
      </c>
    </row>
    <row r="25" spans="8:48" ht="15" x14ac:dyDescent="0.3">
      <c r="H25" s="56"/>
      <c r="I25" s="15"/>
      <c r="J25" s="15"/>
      <c r="K25" s="16"/>
      <c r="L25" s="4"/>
      <c r="AQ25" s="25" t="s">
        <v>271</v>
      </c>
      <c r="AR25" s="21" t="s">
        <v>48</v>
      </c>
      <c r="AS25" s="23">
        <v>7</v>
      </c>
      <c r="AT25" s="47" t="s">
        <v>12</v>
      </c>
      <c r="AU25" s="53" t="s">
        <v>108</v>
      </c>
      <c r="AV25" s="50">
        <v>0.18</v>
      </c>
    </row>
    <row r="26" spans="8:48" ht="15" x14ac:dyDescent="0.3">
      <c r="H26" s="56"/>
      <c r="I26" s="15"/>
      <c r="J26" s="15"/>
      <c r="K26" s="16"/>
      <c r="L26" s="4"/>
      <c r="AQ26" s="25" t="s">
        <v>271</v>
      </c>
      <c r="AR26" s="21" t="s">
        <v>50</v>
      </c>
      <c r="AS26" s="23">
        <v>7</v>
      </c>
      <c r="AT26" s="47" t="s">
        <v>12</v>
      </c>
      <c r="AU26" s="53" t="s">
        <v>109</v>
      </c>
      <c r="AV26" s="50">
        <v>0.18</v>
      </c>
    </row>
    <row r="27" spans="8:48" ht="15" x14ac:dyDescent="0.3">
      <c r="H27" s="56"/>
      <c r="I27" s="15"/>
      <c r="J27" s="15"/>
      <c r="K27" s="16"/>
      <c r="L27" s="4"/>
      <c r="AQ27" s="25" t="s">
        <v>271</v>
      </c>
      <c r="AR27" s="21" t="s">
        <v>51</v>
      </c>
      <c r="AS27" s="23">
        <v>7</v>
      </c>
      <c r="AT27" s="47" t="s">
        <v>12</v>
      </c>
      <c r="AU27" s="53" t="s">
        <v>110</v>
      </c>
      <c r="AV27" s="50">
        <v>8.1999999999999993</v>
      </c>
    </row>
    <row r="28" spans="8:48" ht="15" x14ac:dyDescent="0.3">
      <c r="H28" s="56"/>
      <c r="I28" s="15"/>
      <c r="J28" s="15"/>
      <c r="K28" s="16"/>
      <c r="L28" s="4"/>
      <c r="AQ28" s="25" t="s">
        <v>271</v>
      </c>
      <c r="AR28" s="21" t="s">
        <v>53</v>
      </c>
      <c r="AS28" s="23">
        <v>7</v>
      </c>
      <c r="AT28" s="47" t="s">
        <v>12</v>
      </c>
      <c r="AU28" s="63" t="s">
        <v>79</v>
      </c>
      <c r="AV28" s="50">
        <v>0.16</v>
      </c>
    </row>
    <row r="29" spans="8:48" ht="15" x14ac:dyDescent="0.3">
      <c r="H29" s="56"/>
      <c r="I29" s="15"/>
      <c r="J29" s="15"/>
      <c r="K29" s="16"/>
      <c r="L29" s="4"/>
      <c r="AQ29" s="25" t="s">
        <v>270</v>
      </c>
      <c r="AR29" s="21" t="s">
        <v>8</v>
      </c>
      <c r="AS29" s="23">
        <v>7</v>
      </c>
      <c r="AT29" s="47" t="s">
        <v>271</v>
      </c>
      <c r="AU29" s="63" t="s">
        <v>80</v>
      </c>
      <c r="AV29" s="50">
        <v>3.2</v>
      </c>
    </row>
    <row r="30" spans="8:48" ht="15" x14ac:dyDescent="0.3">
      <c r="H30" s="56"/>
      <c r="I30" s="15"/>
      <c r="J30" s="15"/>
      <c r="K30" s="16"/>
      <c r="L30" s="4"/>
      <c r="AQ30" s="25" t="s">
        <v>270</v>
      </c>
      <c r="AR30" s="21" t="s">
        <v>0</v>
      </c>
      <c r="AS30" s="23">
        <v>7</v>
      </c>
      <c r="AT30" s="47" t="s">
        <v>271</v>
      </c>
      <c r="AU30" s="62" t="s">
        <v>101</v>
      </c>
      <c r="AV30" s="50">
        <v>2</v>
      </c>
    </row>
    <row r="31" spans="8:48" ht="15" x14ac:dyDescent="0.3">
      <c r="H31" s="56"/>
      <c r="I31" s="15"/>
      <c r="J31" s="15"/>
      <c r="K31" s="16"/>
      <c r="L31" s="4"/>
      <c r="AQ31" s="25" t="s">
        <v>270</v>
      </c>
      <c r="AR31" s="21" t="s">
        <v>45</v>
      </c>
      <c r="AS31" s="23">
        <v>7</v>
      </c>
      <c r="AT31" s="47" t="s">
        <v>271</v>
      </c>
      <c r="AU31" s="62" t="s">
        <v>102</v>
      </c>
      <c r="AV31" s="50">
        <v>0.45</v>
      </c>
    </row>
    <row r="32" spans="8:48" ht="15" x14ac:dyDescent="0.3">
      <c r="H32" s="56"/>
      <c r="I32" s="15"/>
      <c r="J32" s="15"/>
      <c r="K32" s="16"/>
      <c r="L32" s="4"/>
      <c r="AQ32" s="25" t="s">
        <v>270</v>
      </c>
      <c r="AR32" s="21" t="s">
        <v>47</v>
      </c>
      <c r="AS32" s="23">
        <v>7</v>
      </c>
      <c r="AT32" s="47" t="s">
        <v>271</v>
      </c>
      <c r="AU32" s="62" t="s">
        <v>103</v>
      </c>
      <c r="AV32" s="50">
        <v>0.22500000000000001</v>
      </c>
    </row>
    <row r="33" spans="14:48" ht="15" x14ac:dyDescent="0.3">
      <c r="AQ33" s="25" t="s">
        <v>270</v>
      </c>
      <c r="AR33" s="21" t="s">
        <v>48</v>
      </c>
      <c r="AS33" s="23">
        <v>7</v>
      </c>
      <c r="AT33" s="47" t="s">
        <v>271</v>
      </c>
      <c r="AU33" s="62" t="s">
        <v>104</v>
      </c>
      <c r="AV33" s="50">
        <v>0.22500000000000001</v>
      </c>
    </row>
    <row r="34" spans="14:48" ht="15" x14ac:dyDescent="0.3">
      <c r="AQ34" s="25" t="s">
        <v>270</v>
      </c>
      <c r="AR34" s="21" t="s">
        <v>50</v>
      </c>
      <c r="AS34" s="23">
        <v>7</v>
      </c>
      <c r="AT34" s="47" t="s">
        <v>271</v>
      </c>
      <c r="AU34" s="62" t="s">
        <v>105</v>
      </c>
      <c r="AV34" s="50">
        <v>10.25</v>
      </c>
    </row>
    <row r="35" spans="14:48" ht="15" x14ac:dyDescent="0.3">
      <c r="AQ35" s="25" t="s">
        <v>270</v>
      </c>
      <c r="AR35" s="21" t="s">
        <v>51</v>
      </c>
      <c r="AS35" s="23">
        <v>7</v>
      </c>
      <c r="AT35" s="47" t="s">
        <v>271</v>
      </c>
      <c r="AU35" s="53" t="s">
        <v>106</v>
      </c>
      <c r="AV35" s="50">
        <v>1.6</v>
      </c>
    </row>
    <row r="36" spans="14:48" ht="15" x14ac:dyDescent="0.3">
      <c r="AQ36" s="25" t="s">
        <v>270</v>
      </c>
      <c r="AR36" s="21" t="s">
        <v>53</v>
      </c>
      <c r="AS36" s="23">
        <v>7</v>
      </c>
      <c r="AT36" s="47" t="s">
        <v>271</v>
      </c>
      <c r="AU36" s="53" t="s">
        <v>107</v>
      </c>
      <c r="AV36" s="50">
        <v>2.9</v>
      </c>
    </row>
    <row r="37" spans="14:48" ht="15" x14ac:dyDescent="0.3">
      <c r="AQ37" s="3"/>
      <c r="AR37" s="15"/>
      <c r="AS37" s="4"/>
      <c r="AT37" s="47" t="s">
        <v>271</v>
      </c>
      <c r="AU37" s="53" t="s">
        <v>108</v>
      </c>
      <c r="AV37" s="50">
        <v>0.18</v>
      </c>
    </row>
    <row r="38" spans="14:48" ht="15" x14ac:dyDescent="0.3">
      <c r="N38" s="16"/>
      <c r="O38" s="16"/>
      <c r="P38" s="16"/>
      <c r="Q38" s="16"/>
      <c r="AQ38" s="3"/>
      <c r="AR38" s="15"/>
      <c r="AS38" s="4"/>
      <c r="AT38" s="47" t="s">
        <v>271</v>
      </c>
      <c r="AU38" s="53" t="s">
        <v>109</v>
      </c>
      <c r="AV38" s="50">
        <v>0.18</v>
      </c>
    </row>
    <row r="39" spans="14:48" ht="15" x14ac:dyDescent="0.3">
      <c r="N39" s="16"/>
      <c r="O39" s="56"/>
      <c r="P39" s="16"/>
      <c r="Q39" s="16"/>
      <c r="AT39" s="47" t="s">
        <v>271</v>
      </c>
      <c r="AU39" s="53" t="s">
        <v>110</v>
      </c>
      <c r="AV39" s="50">
        <v>8.1999999999999993</v>
      </c>
    </row>
    <row r="40" spans="14:48" ht="15" x14ac:dyDescent="0.3">
      <c r="N40" s="16"/>
      <c r="O40" s="16"/>
      <c r="P40" s="16"/>
      <c r="Q40" s="16"/>
      <c r="AT40" s="47" t="s">
        <v>271</v>
      </c>
      <c r="AU40" s="63" t="s">
        <v>79</v>
      </c>
      <c r="AV40" s="50">
        <v>0.16</v>
      </c>
    </row>
    <row r="41" spans="14:48" ht="15" x14ac:dyDescent="0.3">
      <c r="N41" s="16"/>
      <c r="O41" s="16"/>
      <c r="P41" s="16"/>
      <c r="Q41" s="16"/>
      <c r="AT41" s="47" t="s">
        <v>270</v>
      </c>
      <c r="AU41" s="63" t="s">
        <v>80</v>
      </c>
      <c r="AV41" s="50">
        <v>3.2</v>
      </c>
    </row>
    <row r="42" spans="14:48" ht="15" x14ac:dyDescent="0.3">
      <c r="N42" s="16"/>
      <c r="O42" s="16"/>
      <c r="P42" s="16"/>
      <c r="Q42" s="16"/>
      <c r="AT42" s="47" t="s">
        <v>270</v>
      </c>
      <c r="AU42" s="62" t="s">
        <v>101</v>
      </c>
      <c r="AV42" s="50">
        <v>2</v>
      </c>
    </row>
    <row r="43" spans="14:48" ht="15" x14ac:dyDescent="0.3">
      <c r="N43" s="16"/>
      <c r="O43" s="16"/>
      <c r="P43" s="16"/>
      <c r="Q43" s="16"/>
      <c r="AT43" s="47" t="s">
        <v>270</v>
      </c>
      <c r="AU43" s="62" t="s">
        <v>102</v>
      </c>
      <c r="AV43" s="50">
        <v>0.45</v>
      </c>
    </row>
    <row r="44" spans="14:48" ht="15" x14ac:dyDescent="0.3">
      <c r="N44" s="16"/>
      <c r="O44" s="16"/>
      <c r="P44" s="16"/>
      <c r="Q44" s="16"/>
      <c r="AT44" s="47" t="s">
        <v>270</v>
      </c>
      <c r="AU44" s="62" t="s">
        <v>103</v>
      </c>
      <c r="AV44" s="50">
        <v>0.22500000000000001</v>
      </c>
    </row>
    <row r="45" spans="14:48" ht="15" x14ac:dyDescent="0.3">
      <c r="N45" s="16"/>
      <c r="O45" s="16"/>
      <c r="P45" s="16"/>
      <c r="Q45" s="16"/>
      <c r="AT45" s="47" t="s">
        <v>270</v>
      </c>
      <c r="AU45" s="62" t="s">
        <v>104</v>
      </c>
      <c r="AV45" s="50">
        <v>0.22500000000000001</v>
      </c>
    </row>
    <row r="46" spans="14:48" ht="15" x14ac:dyDescent="0.3">
      <c r="AT46" s="47" t="s">
        <v>270</v>
      </c>
      <c r="AU46" s="62" t="s">
        <v>105</v>
      </c>
      <c r="AV46" s="50">
        <v>10.25</v>
      </c>
    </row>
    <row r="47" spans="14:48" ht="15" x14ac:dyDescent="0.3">
      <c r="AT47" s="47" t="s">
        <v>270</v>
      </c>
      <c r="AU47" s="53" t="s">
        <v>106</v>
      </c>
      <c r="AV47" s="50">
        <v>1.6</v>
      </c>
    </row>
    <row r="48" spans="14:48" ht="15" x14ac:dyDescent="0.3">
      <c r="AT48" s="47" t="s">
        <v>270</v>
      </c>
      <c r="AU48" s="53" t="s">
        <v>107</v>
      </c>
      <c r="AV48" s="50">
        <v>2.9</v>
      </c>
    </row>
    <row r="49" spans="46:48" ht="15" x14ac:dyDescent="0.3">
      <c r="AT49" s="47" t="s">
        <v>270</v>
      </c>
      <c r="AU49" s="53" t="s">
        <v>108</v>
      </c>
      <c r="AV49" s="50">
        <v>0.18</v>
      </c>
    </row>
    <row r="50" spans="46:48" ht="15" x14ac:dyDescent="0.3">
      <c r="AT50" s="47" t="s">
        <v>270</v>
      </c>
      <c r="AU50" s="53" t="s">
        <v>109</v>
      </c>
      <c r="AV50" s="50">
        <v>0.18</v>
      </c>
    </row>
    <row r="51" spans="46:48" ht="15" x14ac:dyDescent="0.3">
      <c r="AT51" s="47" t="s">
        <v>270</v>
      </c>
      <c r="AU51" s="53" t="s">
        <v>110</v>
      </c>
      <c r="AV51" s="50">
        <v>8.1999999999999993</v>
      </c>
    </row>
    <row r="52" spans="46:48" ht="15" x14ac:dyDescent="0.3">
      <c r="AT52" s="47" t="s">
        <v>270</v>
      </c>
      <c r="AU52" s="63" t="s">
        <v>79</v>
      </c>
      <c r="AV52" s="50">
        <v>0.16</v>
      </c>
    </row>
    <row r="53" spans="46:48" x14ac:dyDescent="0.3">
      <c r="AT53" s="47"/>
      <c r="AU53" s="29"/>
      <c r="AV53" s="50"/>
    </row>
    <row r="54" spans="46:48" x14ac:dyDescent="0.3">
      <c r="AT54" s="47"/>
      <c r="AU54" s="29"/>
      <c r="AV54" s="50"/>
    </row>
    <row r="55" spans="46:48" x14ac:dyDescent="0.3">
      <c r="AT55" s="47"/>
      <c r="AU55" s="29"/>
      <c r="AV55" s="50"/>
    </row>
    <row r="56" spans="46:48" x14ac:dyDescent="0.3">
      <c r="AT56" s="47"/>
      <c r="AU56" s="29"/>
      <c r="AV56" s="50"/>
    </row>
    <row r="57" spans="46:48" x14ac:dyDescent="0.3">
      <c r="AT57" s="47"/>
      <c r="AU57" s="29"/>
      <c r="AV57" s="50"/>
    </row>
    <row r="58" spans="46:48" x14ac:dyDescent="0.3">
      <c r="AT58" s="47"/>
      <c r="AU58" s="29"/>
      <c r="AV58" s="50"/>
    </row>
    <row r="59" spans="46:48" x14ac:dyDescent="0.3">
      <c r="AT59" s="47"/>
      <c r="AU59" s="29"/>
      <c r="AV59" s="50"/>
    </row>
    <row r="60" spans="46:48" x14ac:dyDescent="0.3">
      <c r="AT60" s="47"/>
      <c r="AU60" s="40"/>
      <c r="AV60" s="50"/>
    </row>
    <row r="61" spans="46:48" x14ac:dyDescent="0.3">
      <c r="AT61" s="47"/>
      <c r="AU61" s="29"/>
      <c r="AV61" s="50"/>
    </row>
    <row r="62" spans="46:48" x14ac:dyDescent="0.3">
      <c r="AT62" s="47"/>
      <c r="AU62" s="29"/>
      <c r="AV62" s="50"/>
    </row>
    <row r="63" spans="46:48" x14ac:dyDescent="0.3">
      <c r="AT63" s="47"/>
      <c r="AU63" s="29"/>
      <c r="AV63" s="50"/>
    </row>
    <row r="64" spans="46:48" x14ac:dyDescent="0.3">
      <c r="AT64" s="47"/>
      <c r="AU64" s="29"/>
      <c r="AV64" s="50"/>
    </row>
    <row r="65" spans="46:48" x14ac:dyDescent="0.3">
      <c r="AT65" s="47"/>
      <c r="AU65" s="29"/>
      <c r="AV65" s="50"/>
    </row>
    <row r="67" spans="46:48" x14ac:dyDescent="0.3">
      <c r="AT67" s="47"/>
      <c r="AU67" s="29"/>
      <c r="AV67" s="50"/>
    </row>
    <row r="68" spans="46:48" x14ac:dyDescent="0.3">
      <c r="AT68" s="47"/>
      <c r="AU68" s="29"/>
      <c r="AV68" s="50"/>
    </row>
    <row r="69" spans="46:48" x14ac:dyDescent="0.3">
      <c r="AT69" s="3"/>
      <c r="AU69" s="17"/>
      <c r="AV69" s="4"/>
    </row>
    <row r="70" spans="46:48" x14ac:dyDescent="0.3">
      <c r="AT70" s="3"/>
      <c r="AU70" s="17"/>
      <c r="AV70" s="4"/>
    </row>
    <row r="71" spans="46:48" x14ac:dyDescent="0.3">
      <c r="AT71" s="3"/>
      <c r="AU71" s="17"/>
      <c r="AV71" s="4"/>
    </row>
    <row r="72" spans="46:48" x14ac:dyDescent="0.3">
      <c r="AT72" s="3"/>
      <c r="AU72" s="17"/>
      <c r="AV72" s="4"/>
    </row>
    <row r="73" spans="46:48" x14ac:dyDescent="0.3">
      <c r="AT73" s="3"/>
      <c r="AU73" s="17"/>
      <c r="AV73" s="4"/>
    </row>
    <row r="74" spans="46:48" x14ac:dyDescent="0.3">
      <c r="AT74" s="3"/>
      <c r="AU74" s="17"/>
      <c r="AV74" s="4"/>
    </row>
    <row r="75" spans="46:48" x14ac:dyDescent="0.3">
      <c r="AT75" s="3"/>
      <c r="AU75" s="17"/>
      <c r="AV75" s="4"/>
    </row>
    <row r="76" spans="46:48" x14ac:dyDescent="0.3">
      <c r="AT76" s="3"/>
      <c r="AU76" s="17"/>
      <c r="AV76" s="4"/>
    </row>
    <row r="77" spans="46:48" x14ac:dyDescent="0.3">
      <c r="AT77" s="3"/>
      <c r="AU77" s="17"/>
      <c r="AV77" s="4"/>
    </row>
    <row r="78" spans="46:48" x14ac:dyDescent="0.3">
      <c r="AT78" s="3"/>
      <c r="AU78" s="17"/>
      <c r="AV78" s="4"/>
    </row>
    <row r="79" spans="46:48" x14ac:dyDescent="0.3">
      <c r="AT79" s="3"/>
      <c r="AV79" s="4"/>
    </row>
    <row r="80" spans="46:48" x14ac:dyDescent="0.3">
      <c r="AT80" s="3"/>
      <c r="AV80" s="4"/>
    </row>
  </sheetData>
  <mergeCells count="9">
    <mergeCell ref="AT1:AV1"/>
    <mergeCell ref="AK1:AP1"/>
    <mergeCell ref="AQ1:AS1"/>
    <mergeCell ref="A1:F1"/>
    <mergeCell ref="G1:L1"/>
    <mergeCell ref="M1:R1"/>
    <mergeCell ref="S1:X1"/>
    <mergeCell ref="Y1:AD1"/>
    <mergeCell ref="AE1:AJ1"/>
  </mergeCells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B12B-B586-4C0F-9CF4-2667A6798728}">
  <dimension ref="A1:B2"/>
  <sheetViews>
    <sheetView workbookViewId="0">
      <selection activeCell="A2" sqref="A2:B2"/>
    </sheetView>
  </sheetViews>
  <sheetFormatPr baseColWidth="10" defaultRowHeight="14.4" x14ac:dyDescent="0.3"/>
  <sheetData>
    <row r="1" spans="1:2" x14ac:dyDescent="0.3">
      <c r="A1" s="119" t="s">
        <v>267</v>
      </c>
      <c r="B1" s="119">
        <v>0.45</v>
      </c>
    </row>
    <row r="2" spans="1:2" x14ac:dyDescent="0.3">
      <c r="A2" s="144" t="s">
        <v>268</v>
      </c>
      <c r="B2" s="144">
        <v>0.04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1359-9340-4E00-924E-C05856876123}">
  <dimension ref="A1:P36"/>
  <sheetViews>
    <sheetView topLeftCell="A4" zoomScale="55" zoomScaleNormal="55" workbookViewId="0">
      <selection activeCell="P28" sqref="P28"/>
    </sheetView>
  </sheetViews>
  <sheetFormatPr baseColWidth="10" defaultColWidth="11.5546875" defaultRowHeight="13.8" x14ac:dyDescent="0.3"/>
  <cols>
    <col min="1" max="1" width="13.6640625" style="140" customWidth="1"/>
    <col min="2" max="2" width="11.5546875" style="1"/>
    <col min="3" max="3" width="11.5546875" style="117"/>
    <col min="4" max="4" width="11.5546875" style="1"/>
    <col min="5" max="5" width="14.33203125" style="140" customWidth="1"/>
    <col min="6" max="7" width="11.5546875" style="1"/>
    <col min="8" max="8" width="11.5546875" style="117"/>
    <col min="9" max="9" width="11.5546875" style="1"/>
    <col min="10" max="10" width="12.6640625" style="140" customWidth="1"/>
    <col min="11" max="11" width="17.33203125" style="1" customWidth="1"/>
    <col min="12" max="12" width="22.33203125" style="117" customWidth="1"/>
    <col min="13" max="13" width="11.5546875" style="1"/>
    <col min="14" max="14" width="13.44140625" style="140" customWidth="1"/>
    <col min="15" max="15" width="11.5546875" style="1"/>
    <col min="16" max="16" width="11.5546875" style="117"/>
    <col min="17" max="16384" width="11.5546875" style="1"/>
  </cols>
  <sheetData>
    <row r="1" spans="1:16" ht="15" customHeight="1" x14ac:dyDescent="0.3">
      <c r="A1" s="430" t="s">
        <v>290</v>
      </c>
      <c r="B1" s="431"/>
      <c r="C1" s="432"/>
      <c r="E1" s="430" t="s">
        <v>289</v>
      </c>
      <c r="F1" s="431"/>
      <c r="G1" s="431"/>
      <c r="H1" s="432"/>
      <c r="J1" s="430" t="s">
        <v>288</v>
      </c>
      <c r="K1" s="431"/>
      <c r="L1" s="432"/>
      <c r="N1" s="430" t="s">
        <v>287</v>
      </c>
      <c r="O1" s="431"/>
      <c r="P1" s="432"/>
    </row>
    <row r="2" spans="1:16" ht="31.8" thickBot="1" x14ac:dyDescent="0.35">
      <c r="A2" s="42" t="s">
        <v>84</v>
      </c>
      <c r="B2" s="141" t="s">
        <v>85</v>
      </c>
      <c r="C2" s="142" t="s">
        <v>86</v>
      </c>
      <c r="D2" s="120" t="s">
        <v>87</v>
      </c>
      <c r="E2" s="118" t="s">
        <v>88</v>
      </c>
    </row>
    <row r="3" spans="1:16" s="123" customFormat="1" ht="69" x14ac:dyDescent="0.3">
      <c r="A3" s="121"/>
      <c r="B3" s="122" t="s">
        <v>286</v>
      </c>
      <c r="C3" s="143" t="s">
        <v>285</v>
      </c>
      <c r="E3" s="24" t="s">
        <v>40</v>
      </c>
      <c r="F3" s="130" t="s">
        <v>25</v>
      </c>
      <c r="G3" s="130" t="s">
        <v>284</v>
      </c>
      <c r="H3" s="49" t="s">
        <v>283</v>
      </c>
      <c r="J3" s="24" t="s">
        <v>40</v>
      </c>
      <c r="K3" s="130" t="s">
        <v>282</v>
      </c>
      <c r="L3" s="49" t="s">
        <v>281</v>
      </c>
      <c r="N3" s="132" t="s">
        <v>40</v>
      </c>
      <c r="O3" s="133" t="s">
        <v>280</v>
      </c>
      <c r="P3" s="134" t="s">
        <v>279</v>
      </c>
    </row>
    <row r="4" spans="1:16" ht="28.2" thickBot="1" x14ac:dyDescent="0.35">
      <c r="A4" s="124" t="s">
        <v>278</v>
      </c>
      <c r="B4" s="125">
        <v>1</v>
      </c>
      <c r="C4" s="126">
        <v>45</v>
      </c>
      <c r="E4" s="26" t="s">
        <v>273</v>
      </c>
      <c r="F4" s="127" t="s">
        <v>3</v>
      </c>
      <c r="G4" s="128" t="s">
        <v>277</v>
      </c>
      <c r="H4" s="129" t="s">
        <v>276</v>
      </c>
      <c r="J4" s="24" t="s">
        <v>273</v>
      </c>
      <c r="K4" s="130" t="s">
        <v>275</v>
      </c>
      <c r="L4" s="131" t="s">
        <v>274</v>
      </c>
      <c r="N4" s="132" t="s">
        <v>273</v>
      </c>
      <c r="O4" s="133" t="s">
        <v>228</v>
      </c>
      <c r="P4" s="134" t="s">
        <v>272</v>
      </c>
    </row>
    <row r="5" spans="1:16" ht="27.6" x14ac:dyDescent="0.3">
      <c r="E5" s="136" t="s">
        <v>11</v>
      </c>
      <c r="F5" s="57" t="s">
        <v>106</v>
      </c>
      <c r="G5" s="51">
        <v>0</v>
      </c>
      <c r="H5" s="23">
        <v>12.62</v>
      </c>
      <c r="J5" s="25" t="s">
        <v>11</v>
      </c>
      <c r="K5" s="57" t="s">
        <v>94</v>
      </c>
      <c r="L5" s="51">
        <v>31</v>
      </c>
      <c r="N5" s="138" t="s">
        <v>11</v>
      </c>
      <c r="O5" s="138" t="s">
        <v>101</v>
      </c>
      <c r="P5" s="139">
        <v>12.62</v>
      </c>
    </row>
    <row r="6" spans="1:16" ht="27.6" x14ac:dyDescent="0.3">
      <c r="E6" s="136" t="s">
        <v>11</v>
      </c>
      <c r="F6" s="57" t="s">
        <v>107</v>
      </c>
      <c r="G6" s="51">
        <v>0</v>
      </c>
      <c r="H6" s="23">
        <v>13.754</v>
      </c>
      <c r="J6" s="25" t="s">
        <v>11</v>
      </c>
      <c r="K6" s="57" t="s">
        <v>95</v>
      </c>
      <c r="L6" s="51">
        <v>30</v>
      </c>
      <c r="N6" s="138" t="s">
        <v>11</v>
      </c>
      <c r="O6" s="138" t="s">
        <v>102</v>
      </c>
      <c r="P6" s="139">
        <v>13.754</v>
      </c>
    </row>
    <row r="7" spans="1:16" ht="27.6" x14ac:dyDescent="0.3">
      <c r="E7" s="136" t="s">
        <v>11</v>
      </c>
      <c r="F7" s="57" t="s">
        <v>108</v>
      </c>
      <c r="G7" s="51">
        <v>0</v>
      </c>
      <c r="H7" s="23">
        <v>0</v>
      </c>
      <c r="J7" s="25" t="s">
        <v>11</v>
      </c>
      <c r="K7" s="57" t="s">
        <v>96</v>
      </c>
      <c r="L7" s="51">
        <v>62</v>
      </c>
      <c r="N7" s="138" t="s">
        <v>11</v>
      </c>
      <c r="O7" s="138" t="s">
        <v>103</v>
      </c>
      <c r="P7" s="139">
        <v>0</v>
      </c>
    </row>
    <row r="8" spans="1:16" ht="27.6" x14ac:dyDescent="0.3">
      <c r="E8" s="136" t="s">
        <v>11</v>
      </c>
      <c r="F8" s="57" t="s">
        <v>109</v>
      </c>
      <c r="G8" s="51">
        <v>0</v>
      </c>
      <c r="H8" s="23">
        <v>0</v>
      </c>
      <c r="J8" s="25" t="s">
        <v>11</v>
      </c>
      <c r="K8" s="57" t="s">
        <v>97</v>
      </c>
      <c r="L8" s="51">
        <v>31</v>
      </c>
      <c r="N8" s="138" t="s">
        <v>11</v>
      </c>
      <c r="O8" s="138" t="s">
        <v>104</v>
      </c>
      <c r="P8" s="139">
        <v>0</v>
      </c>
    </row>
    <row r="9" spans="1:16" ht="14.4" x14ac:dyDescent="0.3">
      <c r="E9" s="136" t="s">
        <v>11</v>
      </c>
      <c r="F9" s="57" t="s">
        <v>110</v>
      </c>
      <c r="G9" s="51">
        <v>0</v>
      </c>
      <c r="H9" s="23">
        <v>20</v>
      </c>
      <c r="J9" s="25" t="s">
        <v>11</v>
      </c>
      <c r="K9" s="57" t="s">
        <v>98</v>
      </c>
      <c r="L9" s="51">
        <v>0.12</v>
      </c>
      <c r="N9" s="138" t="s">
        <v>11</v>
      </c>
      <c r="O9" s="138" t="s">
        <v>105</v>
      </c>
      <c r="P9" s="139">
        <v>20</v>
      </c>
    </row>
    <row r="10" spans="1:16" ht="27.6" x14ac:dyDescent="0.3">
      <c r="E10" s="136" t="s">
        <v>12</v>
      </c>
      <c r="F10" s="57" t="s">
        <v>106</v>
      </c>
      <c r="G10" s="51">
        <v>0</v>
      </c>
      <c r="H10" s="23">
        <v>12.94</v>
      </c>
      <c r="J10" s="25" t="s">
        <v>11</v>
      </c>
      <c r="K10" s="57" t="s">
        <v>99</v>
      </c>
      <c r="L10" s="51">
        <v>25</v>
      </c>
      <c r="N10" s="138" t="s">
        <v>12</v>
      </c>
      <c r="O10" s="138" t="s">
        <v>101</v>
      </c>
      <c r="P10" s="139">
        <v>12.94</v>
      </c>
    </row>
    <row r="11" spans="1:16" ht="27.6" x14ac:dyDescent="0.3">
      <c r="E11" s="25" t="s">
        <v>12</v>
      </c>
      <c r="F11" s="58" t="s">
        <v>107</v>
      </c>
      <c r="G11" s="51">
        <v>0</v>
      </c>
      <c r="H11" s="51">
        <v>13.5</v>
      </c>
      <c r="J11" s="25" t="s">
        <v>11</v>
      </c>
      <c r="K11" s="58" t="s">
        <v>100</v>
      </c>
      <c r="L11" s="52">
        <v>20</v>
      </c>
      <c r="N11" s="138" t="s">
        <v>12</v>
      </c>
      <c r="O11" s="138" t="s">
        <v>102</v>
      </c>
      <c r="P11" s="139">
        <v>13.5</v>
      </c>
    </row>
    <row r="12" spans="1:16" ht="27.6" x14ac:dyDescent="0.3">
      <c r="E12" s="136" t="s">
        <v>12</v>
      </c>
      <c r="F12" s="57" t="s">
        <v>108</v>
      </c>
      <c r="G12" s="51">
        <v>0</v>
      </c>
      <c r="H12" s="51">
        <v>1.48</v>
      </c>
      <c r="J12" s="25" t="s">
        <v>12</v>
      </c>
      <c r="K12" s="57" t="s">
        <v>94</v>
      </c>
      <c r="L12" s="51">
        <v>31</v>
      </c>
      <c r="N12" s="138" t="s">
        <v>12</v>
      </c>
      <c r="O12" s="138" t="s">
        <v>103</v>
      </c>
      <c r="P12" s="139">
        <v>1.48</v>
      </c>
    </row>
    <row r="13" spans="1:16" ht="27.6" x14ac:dyDescent="0.3">
      <c r="E13" s="136" t="s">
        <v>12</v>
      </c>
      <c r="F13" s="57" t="s">
        <v>109</v>
      </c>
      <c r="G13" s="51">
        <v>0</v>
      </c>
      <c r="H13" s="51">
        <v>8.7880000000000003</v>
      </c>
      <c r="J13" s="25" t="s">
        <v>12</v>
      </c>
      <c r="K13" s="57" t="s">
        <v>95</v>
      </c>
      <c r="L13" s="51">
        <v>30</v>
      </c>
      <c r="N13" s="138" t="s">
        <v>12</v>
      </c>
      <c r="O13" s="138" t="s">
        <v>104</v>
      </c>
      <c r="P13" s="139">
        <v>8.7880000000000003</v>
      </c>
    </row>
    <row r="14" spans="1:16" ht="14.4" x14ac:dyDescent="0.3">
      <c r="E14" s="136" t="s">
        <v>12</v>
      </c>
      <c r="F14" s="57" t="s">
        <v>110</v>
      </c>
      <c r="G14" s="51">
        <v>0</v>
      </c>
      <c r="H14" s="51">
        <v>20</v>
      </c>
      <c r="J14" s="25" t="s">
        <v>12</v>
      </c>
      <c r="K14" s="57" t="s">
        <v>96</v>
      </c>
      <c r="L14" s="51">
        <v>62</v>
      </c>
      <c r="N14" s="138" t="s">
        <v>12</v>
      </c>
      <c r="O14" s="138" t="s">
        <v>105</v>
      </c>
      <c r="P14" s="139">
        <v>20</v>
      </c>
    </row>
    <row r="15" spans="1:16" ht="27.6" x14ac:dyDescent="0.3">
      <c r="E15" s="136" t="s">
        <v>271</v>
      </c>
      <c r="F15" s="57" t="s">
        <v>106</v>
      </c>
      <c r="G15" s="51">
        <v>0</v>
      </c>
      <c r="H15" s="51">
        <v>12.41</v>
      </c>
      <c r="J15" s="25" t="s">
        <v>12</v>
      </c>
      <c r="K15" s="57" t="s">
        <v>97</v>
      </c>
      <c r="L15" s="51">
        <v>31</v>
      </c>
      <c r="N15" s="138" t="s">
        <v>271</v>
      </c>
      <c r="O15" s="138" t="s">
        <v>101</v>
      </c>
      <c r="P15" s="139">
        <v>12.41</v>
      </c>
    </row>
    <row r="16" spans="1:16" ht="27.6" x14ac:dyDescent="0.3">
      <c r="E16" s="136" t="s">
        <v>271</v>
      </c>
      <c r="F16" s="57" t="s">
        <v>107</v>
      </c>
      <c r="G16" s="51">
        <v>0</v>
      </c>
      <c r="H16" s="51">
        <v>13.18</v>
      </c>
      <c r="J16" s="25" t="s">
        <v>12</v>
      </c>
      <c r="K16" s="57" t="s">
        <v>98</v>
      </c>
      <c r="L16" s="51">
        <v>0.12</v>
      </c>
      <c r="N16" s="138" t="s">
        <v>271</v>
      </c>
      <c r="O16" s="138" t="s">
        <v>102</v>
      </c>
      <c r="P16" s="139">
        <v>13.18</v>
      </c>
    </row>
    <row r="17" spans="5:16" ht="27.6" x14ac:dyDescent="0.3">
      <c r="E17" s="136" t="s">
        <v>271</v>
      </c>
      <c r="F17" s="57" t="s">
        <v>108</v>
      </c>
      <c r="G17" s="51">
        <v>0</v>
      </c>
      <c r="H17" s="51">
        <v>1.54</v>
      </c>
      <c r="J17" s="25" t="s">
        <v>12</v>
      </c>
      <c r="K17" s="57" t="s">
        <v>99</v>
      </c>
      <c r="L17" s="51">
        <v>25</v>
      </c>
      <c r="N17" s="138" t="s">
        <v>271</v>
      </c>
      <c r="O17" s="138" t="s">
        <v>103</v>
      </c>
      <c r="P17" s="139">
        <v>1.54</v>
      </c>
    </row>
    <row r="18" spans="5:16" ht="27.6" x14ac:dyDescent="0.3">
      <c r="E18" s="136" t="s">
        <v>271</v>
      </c>
      <c r="F18" s="58" t="s">
        <v>109</v>
      </c>
      <c r="G18" s="51">
        <v>0</v>
      </c>
      <c r="H18" s="51">
        <v>8.1199999999999992</v>
      </c>
      <c r="J18" s="135" t="s">
        <v>12</v>
      </c>
      <c r="K18" s="58" t="s">
        <v>100</v>
      </c>
      <c r="L18" s="52">
        <v>20</v>
      </c>
      <c r="N18" s="138" t="s">
        <v>271</v>
      </c>
      <c r="O18" s="138" t="s">
        <v>104</v>
      </c>
      <c r="P18" s="139">
        <v>8.1199999999999992</v>
      </c>
    </row>
    <row r="19" spans="5:16" ht="14.4" x14ac:dyDescent="0.3">
      <c r="E19" s="25" t="s">
        <v>271</v>
      </c>
      <c r="F19" s="137" t="s">
        <v>110</v>
      </c>
      <c r="G19" s="51">
        <v>0</v>
      </c>
      <c r="H19" s="23">
        <v>0</v>
      </c>
      <c r="J19" s="25" t="s">
        <v>271</v>
      </c>
      <c r="K19" s="57" t="s">
        <v>94</v>
      </c>
      <c r="L19" s="23">
        <v>31</v>
      </c>
      <c r="N19" s="138" t="s">
        <v>271</v>
      </c>
      <c r="O19" s="138" t="s">
        <v>105</v>
      </c>
      <c r="P19" s="139">
        <v>0</v>
      </c>
    </row>
    <row r="20" spans="5:16" ht="27.6" x14ac:dyDescent="0.3">
      <c r="E20" s="25" t="s">
        <v>270</v>
      </c>
      <c r="F20" s="57" t="s">
        <v>106</v>
      </c>
      <c r="G20" s="51">
        <v>0</v>
      </c>
      <c r="H20" s="23">
        <v>12.53</v>
      </c>
      <c r="J20" s="25" t="s">
        <v>271</v>
      </c>
      <c r="K20" s="57" t="s">
        <v>95</v>
      </c>
      <c r="L20" s="23">
        <v>30</v>
      </c>
      <c r="N20" s="57" t="s">
        <v>270</v>
      </c>
      <c r="O20" s="138" t="s">
        <v>101</v>
      </c>
      <c r="P20" s="139">
        <v>12.53</v>
      </c>
    </row>
    <row r="21" spans="5:16" ht="27.6" x14ac:dyDescent="0.3">
      <c r="E21" s="25" t="s">
        <v>270</v>
      </c>
      <c r="F21" s="57" t="s">
        <v>107</v>
      </c>
      <c r="G21" s="51">
        <v>0</v>
      </c>
      <c r="H21" s="23">
        <v>13.23</v>
      </c>
      <c r="J21" s="25" t="s">
        <v>271</v>
      </c>
      <c r="K21" s="57" t="s">
        <v>96</v>
      </c>
      <c r="L21" s="23">
        <v>62</v>
      </c>
      <c r="N21" s="57" t="s">
        <v>270</v>
      </c>
      <c r="O21" s="138" t="s">
        <v>102</v>
      </c>
      <c r="P21" s="139">
        <v>13.23</v>
      </c>
    </row>
    <row r="22" spans="5:16" ht="27.6" x14ac:dyDescent="0.3">
      <c r="E22" s="25" t="s">
        <v>270</v>
      </c>
      <c r="F22" s="57" t="s">
        <v>108</v>
      </c>
      <c r="G22" s="51">
        <v>0</v>
      </c>
      <c r="H22" s="23">
        <v>1.53</v>
      </c>
      <c r="J22" s="25" t="s">
        <v>271</v>
      </c>
      <c r="K22" s="57" t="s">
        <v>97</v>
      </c>
      <c r="L22" s="23">
        <v>31</v>
      </c>
      <c r="N22" s="57" t="s">
        <v>270</v>
      </c>
      <c r="O22" s="138" t="s">
        <v>103</v>
      </c>
      <c r="P22" s="139">
        <v>1.53</v>
      </c>
    </row>
    <row r="23" spans="5:16" ht="27.6" x14ac:dyDescent="0.3">
      <c r="E23" s="136" t="s">
        <v>270</v>
      </c>
      <c r="F23" s="137" t="s">
        <v>109</v>
      </c>
      <c r="G23" s="51">
        <v>0</v>
      </c>
      <c r="H23" s="23">
        <v>0</v>
      </c>
      <c r="J23" s="25" t="s">
        <v>271</v>
      </c>
      <c r="K23" s="57" t="s">
        <v>98</v>
      </c>
      <c r="L23" s="23">
        <v>0</v>
      </c>
      <c r="N23" s="57" t="s">
        <v>270</v>
      </c>
      <c r="O23" s="138" t="s">
        <v>104</v>
      </c>
      <c r="P23" s="139">
        <v>0</v>
      </c>
    </row>
    <row r="24" spans="5:16" ht="14.4" x14ac:dyDescent="0.3">
      <c r="E24" s="25" t="s">
        <v>270</v>
      </c>
      <c r="F24" s="57" t="s">
        <v>110</v>
      </c>
      <c r="G24" s="51">
        <v>0</v>
      </c>
      <c r="H24" s="23">
        <v>0</v>
      </c>
      <c r="J24" s="25" t="s">
        <v>271</v>
      </c>
      <c r="K24" s="57" t="s">
        <v>99</v>
      </c>
      <c r="L24" s="23">
        <v>25</v>
      </c>
      <c r="N24" s="57" t="s">
        <v>270</v>
      </c>
      <c r="O24" s="138" t="s">
        <v>105</v>
      </c>
      <c r="P24" s="139">
        <v>0</v>
      </c>
    </row>
    <row r="25" spans="5:16" x14ac:dyDescent="0.3">
      <c r="E25" s="25" t="s">
        <v>12</v>
      </c>
      <c r="F25" s="57" t="s">
        <v>4</v>
      </c>
      <c r="G25" s="51">
        <v>0.72</v>
      </c>
      <c r="H25" s="23">
        <v>0</v>
      </c>
      <c r="J25" s="25" t="s">
        <v>271</v>
      </c>
      <c r="K25" s="57" t="s">
        <v>100</v>
      </c>
      <c r="L25" s="23">
        <v>20</v>
      </c>
    </row>
    <row r="26" spans="5:16" x14ac:dyDescent="0.3">
      <c r="E26" s="25" t="s">
        <v>12</v>
      </c>
      <c r="F26" s="57" t="s">
        <v>202</v>
      </c>
      <c r="G26" s="51">
        <v>25</v>
      </c>
      <c r="H26" s="23">
        <v>0</v>
      </c>
      <c r="J26" s="25" t="s">
        <v>270</v>
      </c>
      <c r="K26" s="57" t="s">
        <v>94</v>
      </c>
      <c r="L26" s="23">
        <v>31</v>
      </c>
    </row>
    <row r="27" spans="5:16" x14ac:dyDescent="0.3">
      <c r="E27" s="25" t="s">
        <v>11</v>
      </c>
      <c r="F27" s="57" t="s">
        <v>269</v>
      </c>
      <c r="G27" s="51">
        <v>0.01</v>
      </c>
      <c r="H27" s="23">
        <v>0</v>
      </c>
      <c r="J27" s="25" t="s">
        <v>270</v>
      </c>
      <c r="K27" s="57" t="s">
        <v>95</v>
      </c>
      <c r="L27" s="23">
        <v>30</v>
      </c>
    </row>
    <row r="28" spans="5:16" x14ac:dyDescent="0.3">
      <c r="E28" s="25" t="s">
        <v>12</v>
      </c>
      <c r="F28" s="57" t="s">
        <v>269</v>
      </c>
      <c r="G28" s="51">
        <v>0.01</v>
      </c>
      <c r="H28" s="23">
        <v>0</v>
      </c>
      <c r="J28" s="25" t="s">
        <v>270</v>
      </c>
      <c r="K28" s="57" t="s">
        <v>96</v>
      </c>
      <c r="L28" s="23">
        <v>62</v>
      </c>
    </row>
    <row r="29" spans="5:16" x14ac:dyDescent="0.3">
      <c r="E29" s="25" t="s">
        <v>11</v>
      </c>
      <c r="F29" s="57" t="s">
        <v>4</v>
      </c>
      <c r="G29" s="51">
        <v>0.72</v>
      </c>
      <c r="H29" s="23">
        <v>0</v>
      </c>
      <c r="J29" s="25" t="s">
        <v>270</v>
      </c>
      <c r="K29" s="57" t="s">
        <v>97</v>
      </c>
      <c r="L29" s="23">
        <v>31</v>
      </c>
    </row>
    <row r="30" spans="5:16" x14ac:dyDescent="0.3">
      <c r="E30" s="25" t="s">
        <v>11</v>
      </c>
      <c r="F30" s="57" t="s">
        <v>202</v>
      </c>
      <c r="G30" s="51">
        <v>1</v>
      </c>
      <c r="H30" s="23">
        <v>0</v>
      </c>
      <c r="J30" s="25" t="s">
        <v>270</v>
      </c>
      <c r="K30" s="57" t="s">
        <v>98</v>
      </c>
      <c r="L30" s="23">
        <v>0</v>
      </c>
    </row>
    <row r="31" spans="5:16" x14ac:dyDescent="0.3">
      <c r="E31" s="25" t="s">
        <v>271</v>
      </c>
      <c r="F31" s="57" t="s">
        <v>4</v>
      </c>
      <c r="G31" s="51">
        <v>0.72</v>
      </c>
      <c r="H31" s="23">
        <v>0</v>
      </c>
      <c r="J31" s="25" t="s">
        <v>270</v>
      </c>
      <c r="K31" s="57" t="s">
        <v>99</v>
      </c>
      <c r="L31" s="23">
        <v>25</v>
      </c>
    </row>
    <row r="32" spans="5:16" x14ac:dyDescent="0.3">
      <c r="E32" s="25" t="s">
        <v>271</v>
      </c>
      <c r="F32" s="57" t="s">
        <v>202</v>
      </c>
      <c r="G32" s="51">
        <v>25</v>
      </c>
      <c r="H32" s="23">
        <v>0</v>
      </c>
      <c r="J32" s="25" t="s">
        <v>270</v>
      </c>
      <c r="K32" s="57" t="s">
        <v>100</v>
      </c>
      <c r="L32" s="23">
        <v>20</v>
      </c>
    </row>
    <row r="33" spans="5:8" x14ac:dyDescent="0.3">
      <c r="E33" s="25" t="s">
        <v>271</v>
      </c>
      <c r="F33" s="57" t="s">
        <v>269</v>
      </c>
      <c r="G33" s="51">
        <v>0.01</v>
      </c>
      <c r="H33" s="23">
        <v>0</v>
      </c>
    </row>
    <row r="34" spans="5:8" x14ac:dyDescent="0.3">
      <c r="E34" s="25" t="s">
        <v>270</v>
      </c>
      <c r="F34" s="57" t="s">
        <v>4</v>
      </c>
      <c r="G34" s="51">
        <v>0.72</v>
      </c>
      <c r="H34" s="23">
        <v>0</v>
      </c>
    </row>
    <row r="35" spans="5:8" x14ac:dyDescent="0.3">
      <c r="E35" s="25" t="s">
        <v>270</v>
      </c>
      <c r="F35" s="57" t="s">
        <v>202</v>
      </c>
      <c r="G35" s="51">
        <v>25</v>
      </c>
      <c r="H35" s="23">
        <v>0</v>
      </c>
    </row>
    <row r="36" spans="5:8" x14ac:dyDescent="0.3">
      <c r="E36" s="25" t="s">
        <v>270</v>
      </c>
      <c r="F36" s="57" t="s">
        <v>269</v>
      </c>
      <c r="G36" s="51">
        <v>0.01</v>
      </c>
      <c r="H36" s="23">
        <v>0</v>
      </c>
    </row>
  </sheetData>
  <mergeCells count="4">
    <mergeCell ref="A1:C1"/>
    <mergeCell ref="E1:H1"/>
    <mergeCell ref="J1:L1"/>
    <mergeCell ref="N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B1B8-11CB-43CA-98AA-D0554FA6A3CA}">
  <dimension ref="A1:U24"/>
  <sheetViews>
    <sheetView workbookViewId="0">
      <selection activeCell="B7" sqref="A7:B7"/>
    </sheetView>
  </sheetViews>
  <sheetFormatPr baseColWidth="10" defaultColWidth="11.5546875" defaultRowHeight="13.8" x14ac:dyDescent="0.25"/>
  <cols>
    <col min="1" max="1" width="14.6640625" style="12" customWidth="1"/>
    <col min="2" max="2" width="16.6640625" style="147" customWidth="1"/>
    <col min="3" max="3" width="11.5546875" style="12"/>
    <col min="4" max="4" width="11.5546875" style="147"/>
    <col min="5" max="5" width="14.44140625" style="147" customWidth="1"/>
    <col min="6" max="6" width="11.5546875" style="147"/>
    <col min="7" max="7" width="18.6640625" style="148" customWidth="1"/>
    <col min="8" max="8" width="11.5546875" style="146"/>
    <col min="9" max="9" width="14.5546875" style="146" customWidth="1"/>
    <col min="10" max="10" width="19" style="146" customWidth="1"/>
    <col min="11" max="11" width="19" style="12" customWidth="1"/>
    <col min="12" max="12" width="11.5546875" style="147"/>
    <col min="13" max="13" width="18.33203125" style="146" customWidth="1"/>
    <col min="14" max="14" width="15.88671875" style="146" customWidth="1"/>
    <col min="15" max="16" width="17.6640625" style="146" customWidth="1"/>
    <col min="17" max="17" width="13.44140625" style="146" customWidth="1"/>
    <col min="18" max="18" width="31.33203125" style="146" customWidth="1"/>
    <col min="19" max="19" width="22" style="146" customWidth="1"/>
    <col min="20" max="20" width="21.88671875" style="145" customWidth="1"/>
    <col min="21" max="16384" width="11.5546875" style="145"/>
  </cols>
  <sheetData>
    <row r="1" spans="1:21" s="123" customFormat="1" ht="72.599999999999994" customHeight="1" x14ac:dyDescent="0.3">
      <c r="A1" s="433" t="s">
        <v>333</v>
      </c>
      <c r="B1" s="434"/>
      <c r="C1" s="433" t="s">
        <v>332</v>
      </c>
      <c r="D1" s="434"/>
      <c r="E1" s="182" t="s">
        <v>331</v>
      </c>
      <c r="F1" s="181"/>
      <c r="G1" s="180" t="s">
        <v>330</v>
      </c>
      <c r="H1" s="179" t="s">
        <v>329</v>
      </c>
      <c r="I1" s="179" t="s">
        <v>328</v>
      </c>
      <c r="J1" s="179" t="s">
        <v>327</v>
      </c>
      <c r="K1" s="435" t="s">
        <v>326</v>
      </c>
      <c r="L1" s="436"/>
      <c r="M1" s="179" t="s">
        <v>325</v>
      </c>
      <c r="N1" s="179" t="s">
        <v>324</v>
      </c>
      <c r="O1" s="179" t="s">
        <v>323</v>
      </c>
      <c r="P1" s="179" t="s">
        <v>322</v>
      </c>
      <c r="Q1" s="179" t="s">
        <v>321</v>
      </c>
      <c r="R1" s="179" t="s">
        <v>320</v>
      </c>
      <c r="S1" s="179" t="s">
        <v>319</v>
      </c>
      <c r="T1" s="439" t="s">
        <v>604</v>
      </c>
      <c r="U1" s="440"/>
    </row>
    <row r="2" spans="1:21" s="1" customFormat="1" ht="64.2" customHeight="1" thickBot="1" x14ac:dyDescent="0.35">
      <c r="A2" s="114" t="s">
        <v>84</v>
      </c>
      <c r="B2" s="113" t="s">
        <v>85</v>
      </c>
      <c r="C2" s="178" t="s">
        <v>86</v>
      </c>
      <c r="D2" s="177" t="s">
        <v>87</v>
      </c>
      <c r="E2" s="176" t="s">
        <v>88</v>
      </c>
      <c r="F2" s="117"/>
      <c r="G2" s="174"/>
      <c r="H2" s="175" t="s">
        <v>318</v>
      </c>
      <c r="I2" s="174" t="s">
        <v>317</v>
      </c>
      <c r="J2" s="173" t="s">
        <v>316</v>
      </c>
      <c r="K2" s="437" t="s">
        <v>315</v>
      </c>
      <c r="L2" s="438"/>
      <c r="M2" s="173" t="s">
        <v>314</v>
      </c>
      <c r="N2" s="173" t="s">
        <v>313</v>
      </c>
      <c r="O2" s="173" t="s">
        <v>312</v>
      </c>
      <c r="P2" s="173" t="s">
        <v>311</v>
      </c>
      <c r="Q2" s="173" t="s">
        <v>310</v>
      </c>
      <c r="R2" s="173" t="s">
        <v>309</v>
      </c>
      <c r="S2" s="173" t="s">
        <v>308</v>
      </c>
      <c r="T2" s="441" t="s">
        <v>603</v>
      </c>
      <c r="U2" s="442"/>
    </row>
    <row r="3" spans="1:21" s="165" customFormat="1" ht="46.8" x14ac:dyDescent="0.3">
      <c r="A3" s="172" t="s">
        <v>307</v>
      </c>
      <c r="B3" s="171" t="s">
        <v>306</v>
      </c>
      <c r="C3" s="172" t="s">
        <v>305</v>
      </c>
      <c r="D3" s="171" t="s">
        <v>304</v>
      </c>
      <c r="E3" s="170" t="s">
        <v>303</v>
      </c>
      <c r="F3" s="169"/>
      <c r="G3" s="166" t="s">
        <v>302</v>
      </c>
      <c r="H3" s="166" t="s">
        <v>301</v>
      </c>
      <c r="I3" s="166" t="s">
        <v>300</v>
      </c>
      <c r="J3" s="167" t="s">
        <v>299</v>
      </c>
      <c r="K3" s="168" t="s">
        <v>3</v>
      </c>
      <c r="L3" s="168" t="s">
        <v>298</v>
      </c>
      <c r="M3" s="167" t="s">
        <v>297</v>
      </c>
      <c r="N3" s="166" t="s">
        <v>296</v>
      </c>
      <c r="O3" s="167" t="s">
        <v>295</v>
      </c>
      <c r="P3" s="167" t="s">
        <v>294</v>
      </c>
      <c r="Q3" s="166" t="s">
        <v>293</v>
      </c>
      <c r="R3" s="167" t="s">
        <v>292</v>
      </c>
      <c r="S3" s="166" t="s">
        <v>291</v>
      </c>
      <c r="T3" s="241" t="s">
        <v>601</v>
      </c>
      <c r="U3" s="2">
        <v>5.0000000000000003E-10</v>
      </c>
    </row>
    <row r="4" spans="1:21" ht="28.8" thickBot="1" x14ac:dyDescent="0.35">
      <c r="A4" s="150" t="s">
        <v>94</v>
      </c>
      <c r="B4" s="154">
        <v>5</v>
      </c>
      <c r="C4" s="159" t="s">
        <v>222</v>
      </c>
      <c r="D4" s="158">
        <v>1.4999999999999999E-2</v>
      </c>
      <c r="E4" s="164">
        <v>50</v>
      </c>
      <c r="G4" s="163">
        <v>0.3</v>
      </c>
      <c r="H4" s="161">
        <v>1.41</v>
      </c>
      <c r="I4" s="161">
        <v>0.25</v>
      </c>
      <c r="J4" s="162">
        <v>0.1</v>
      </c>
      <c r="K4" s="144" t="s">
        <v>206</v>
      </c>
      <c r="L4" s="144">
        <v>0.69</v>
      </c>
      <c r="M4" s="160">
        <v>50</v>
      </c>
      <c r="N4" s="160" t="s">
        <v>93</v>
      </c>
      <c r="O4" s="160" t="s">
        <v>93</v>
      </c>
      <c r="P4" s="160">
        <v>0.3</v>
      </c>
      <c r="Q4" s="161">
        <v>0.1</v>
      </c>
      <c r="R4" s="161">
        <v>1000000000</v>
      </c>
      <c r="S4" s="160">
        <v>0.05</v>
      </c>
      <c r="T4" s="392" t="s">
        <v>602</v>
      </c>
      <c r="U4" s="393">
        <v>9.9999999999999994E-12</v>
      </c>
    </row>
    <row r="5" spans="1:21" ht="14.4" x14ac:dyDescent="0.3">
      <c r="A5" s="150" t="s">
        <v>95</v>
      </c>
      <c r="B5" s="154">
        <v>5</v>
      </c>
      <c r="C5" s="159" t="s">
        <v>213</v>
      </c>
      <c r="D5" s="158">
        <v>1.4999999999999999E-2</v>
      </c>
      <c r="E5" s="157"/>
      <c r="K5" s="144" t="s">
        <v>193</v>
      </c>
      <c r="L5" s="144">
        <v>0.59</v>
      </c>
    </row>
    <row r="6" spans="1:21" ht="14.4" x14ac:dyDescent="0.3">
      <c r="A6" s="150" t="s">
        <v>96</v>
      </c>
      <c r="B6" s="154">
        <v>5</v>
      </c>
      <c r="C6" s="159" t="s">
        <v>204</v>
      </c>
      <c r="D6" s="158">
        <v>1.4999999999999999E-2</v>
      </c>
      <c r="E6" s="157"/>
      <c r="K6" s="156"/>
      <c r="L6" s="155"/>
    </row>
    <row r="7" spans="1:21" ht="14.4" x14ac:dyDescent="0.3">
      <c r="A7" s="151" t="s">
        <v>97</v>
      </c>
      <c r="B7" s="154">
        <v>5</v>
      </c>
    </row>
    <row r="8" spans="1:21" ht="14.4" x14ac:dyDescent="0.3">
      <c r="A8" s="152" t="s">
        <v>99</v>
      </c>
      <c r="B8" s="154">
        <v>5</v>
      </c>
    </row>
    <row r="9" spans="1:21" ht="15" customHeight="1" x14ac:dyDescent="0.3">
      <c r="A9" s="150" t="s">
        <v>100</v>
      </c>
      <c r="B9" s="154">
        <v>5</v>
      </c>
    </row>
    <row r="10" spans="1:21" x14ac:dyDescent="0.25">
      <c r="A10" s="153" t="s">
        <v>98</v>
      </c>
      <c r="B10" s="149">
        <v>0.18</v>
      </c>
    </row>
    <row r="11" spans="1:21" ht="14.4" x14ac:dyDescent="0.3">
      <c r="D11" s="144"/>
    </row>
    <row r="12" spans="1:21" ht="14.4" x14ac:dyDescent="0.3">
      <c r="A12" s="150"/>
      <c r="B12" s="149"/>
      <c r="D12" s="144"/>
    </row>
    <row r="13" spans="1:21" ht="14.4" x14ac:dyDescent="0.3">
      <c r="A13" s="152"/>
      <c r="B13" s="149"/>
      <c r="D13" s="144"/>
    </row>
    <row r="14" spans="1:21" ht="14.4" x14ac:dyDescent="0.3">
      <c r="A14" s="150"/>
      <c r="B14" s="149"/>
      <c r="D14" s="144"/>
    </row>
    <row r="15" spans="1:21" ht="14.4" x14ac:dyDescent="0.3">
      <c r="A15" s="150"/>
      <c r="B15" s="149"/>
      <c r="D15" s="144"/>
    </row>
    <row r="16" spans="1:21" ht="14.4" x14ac:dyDescent="0.3">
      <c r="A16" s="150"/>
      <c r="B16" s="149"/>
      <c r="D16" s="144"/>
    </row>
    <row r="17" spans="1:2" x14ac:dyDescent="0.25">
      <c r="A17" s="150"/>
      <c r="B17" s="149"/>
    </row>
    <row r="18" spans="1:2" x14ac:dyDescent="0.25">
      <c r="A18" s="150"/>
      <c r="B18" s="149"/>
    </row>
    <row r="19" spans="1:2" x14ac:dyDescent="0.25">
      <c r="A19" s="150"/>
      <c r="B19" s="149"/>
    </row>
    <row r="20" spans="1:2" x14ac:dyDescent="0.25">
      <c r="A20" s="151"/>
      <c r="B20" s="149"/>
    </row>
    <row r="21" spans="1:2" x14ac:dyDescent="0.25">
      <c r="A21" s="150"/>
      <c r="B21" s="149"/>
    </row>
    <row r="22" spans="1:2" x14ac:dyDescent="0.25">
      <c r="A22" s="150"/>
      <c r="B22" s="149"/>
    </row>
    <row r="23" spans="1:2" x14ac:dyDescent="0.25">
      <c r="A23" s="150"/>
      <c r="B23" s="149"/>
    </row>
    <row r="24" spans="1:2" x14ac:dyDescent="0.25">
      <c r="A24" s="150"/>
      <c r="B24" s="149"/>
    </row>
  </sheetData>
  <mergeCells count="6">
    <mergeCell ref="A1:B1"/>
    <mergeCell ref="C1:D1"/>
    <mergeCell ref="K1:L1"/>
    <mergeCell ref="K2:L2"/>
    <mergeCell ref="T1:U1"/>
    <mergeCell ref="T2:U2"/>
  </mergeCells>
  <hyperlinks>
    <hyperlink ref="H2" r:id="rId1" xr:uid="{86C33DC0-D960-46A3-BFCC-245498E8B1F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1966-0426-433B-ADB8-D4A6CB914532}">
  <dimension ref="A1:AR39"/>
  <sheetViews>
    <sheetView zoomScale="85" zoomScaleNormal="85" workbookViewId="0">
      <selection activeCell="AA5" sqref="AA5:AT10"/>
    </sheetView>
  </sheetViews>
  <sheetFormatPr baseColWidth="10" defaultRowHeight="14.4" x14ac:dyDescent="0.3"/>
  <cols>
    <col min="1" max="5" width="11.5546875" style="144"/>
    <col min="6" max="6" width="25.109375" style="144" customWidth="1"/>
    <col min="7" max="7" width="26.6640625" style="6" customWidth="1"/>
    <col min="8" max="8" width="32" style="8" customWidth="1"/>
    <col min="9" max="9" width="23.21875" style="144" customWidth="1"/>
    <col min="10" max="10" width="26.6640625" style="8" customWidth="1"/>
    <col min="11" max="11" width="21.88671875" style="144" customWidth="1"/>
    <col min="12" max="12" width="30" style="8" customWidth="1"/>
    <col min="13" max="17" width="11.5546875" style="144"/>
    <col min="18" max="18" width="16" style="144" customWidth="1"/>
    <col min="19" max="27" width="11.5546875" style="144"/>
    <col min="28" max="28" width="14.77734375" style="144" customWidth="1"/>
    <col min="29" max="30" width="11.5546875" style="144"/>
    <col min="31" max="31" width="11.5546875" style="6"/>
    <col min="32" max="32" width="18.6640625" style="144" customWidth="1"/>
    <col min="33" max="33" width="20" style="8" customWidth="1"/>
    <col min="34" max="39" width="11.5546875" style="144"/>
    <col min="40" max="40" width="18.6640625" style="144" customWidth="1"/>
    <col min="41" max="41" width="11.5546875" style="144"/>
    <col min="42" max="42" width="23.33203125" style="144" customWidth="1"/>
    <col min="43" max="43" width="11.5546875" style="6"/>
    <col min="44" max="44" width="19.21875" style="8" customWidth="1"/>
    <col min="45" max="16384" width="11.5546875" style="144"/>
  </cols>
  <sheetData>
    <row r="1" spans="1:44" ht="34.200000000000003" customHeight="1" x14ac:dyDescent="0.3">
      <c r="A1" s="223" t="s">
        <v>397</v>
      </c>
      <c r="B1" s="223" t="s">
        <v>396</v>
      </c>
      <c r="C1" s="223" t="s">
        <v>395</v>
      </c>
      <c r="D1" s="223" t="s">
        <v>394</v>
      </c>
      <c r="E1" s="223" t="s">
        <v>393</v>
      </c>
      <c r="F1" s="222" t="s">
        <v>392</v>
      </c>
      <c r="G1" s="446" t="s">
        <v>391</v>
      </c>
      <c r="H1" s="447"/>
      <c r="I1" s="448" t="s">
        <v>390</v>
      </c>
      <c r="J1" s="447"/>
      <c r="K1" s="448" t="s">
        <v>389</v>
      </c>
      <c r="L1" s="447"/>
      <c r="M1" s="443" t="s">
        <v>388</v>
      </c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4"/>
      <c r="AA1" s="443" t="s">
        <v>387</v>
      </c>
      <c r="AB1" s="445"/>
      <c r="AC1" s="445"/>
      <c r="AD1" s="444"/>
      <c r="AE1" s="443" t="s">
        <v>360</v>
      </c>
      <c r="AF1" s="445"/>
      <c r="AG1" s="444"/>
      <c r="AH1" s="221" t="s">
        <v>386</v>
      </c>
      <c r="AI1" s="220"/>
      <c r="AJ1" s="220"/>
      <c r="AK1" s="220"/>
      <c r="AL1" s="219"/>
      <c r="AM1" s="443" t="s">
        <v>385</v>
      </c>
      <c r="AN1" s="445"/>
      <c r="AO1" s="445"/>
      <c r="AP1" s="444"/>
      <c r="AQ1" s="443" t="s">
        <v>384</v>
      </c>
      <c r="AR1" s="444"/>
    </row>
    <row r="2" spans="1:44" ht="30.6" thickBot="1" x14ac:dyDescent="0.35">
      <c r="A2" s="218" t="s">
        <v>84</v>
      </c>
      <c r="B2" s="217" t="s">
        <v>85</v>
      </c>
      <c r="C2" s="216" t="s">
        <v>86</v>
      </c>
      <c r="D2" s="215" t="s">
        <v>87</v>
      </c>
      <c r="E2" s="214" t="s">
        <v>88</v>
      </c>
      <c r="F2" s="185"/>
      <c r="G2" s="185" t="s">
        <v>383</v>
      </c>
      <c r="H2" s="213" t="s">
        <v>381</v>
      </c>
      <c r="I2" s="2" t="s">
        <v>382</v>
      </c>
      <c r="J2" s="213" t="s">
        <v>381</v>
      </c>
      <c r="K2" s="2" t="s">
        <v>380</v>
      </c>
      <c r="L2" s="213" t="s">
        <v>379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86"/>
      <c r="AA2" s="185"/>
      <c r="AB2" s="2"/>
      <c r="AC2" s="2"/>
      <c r="AD2" s="2"/>
      <c r="AE2" s="185"/>
      <c r="AF2" s="2"/>
      <c r="AG2" s="186"/>
      <c r="AH2" s="2"/>
      <c r="AI2" s="2"/>
      <c r="AJ2" s="2"/>
      <c r="AK2" s="2"/>
      <c r="AL2" s="186"/>
      <c r="AM2" s="185"/>
      <c r="AN2" s="2"/>
      <c r="AO2" s="2"/>
      <c r="AP2" s="2"/>
      <c r="AQ2" s="184"/>
      <c r="AR2" s="183"/>
    </row>
    <row r="3" spans="1:44" ht="78.599999999999994" thickBot="1" x14ac:dyDescent="0.35">
      <c r="A3" s="209" t="s">
        <v>378</v>
      </c>
      <c r="B3" s="209" t="s">
        <v>377</v>
      </c>
      <c r="C3" s="209" t="s">
        <v>376</v>
      </c>
      <c r="D3" s="209" t="s">
        <v>75</v>
      </c>
      <c r="E3" s="209" t="s">
        <v>375</v>
      </c>
      <c r="F3" s="210" t="s">
        <v>69</v>
      </c>
      <c r="G3" s="212" t="s">
        <v>69</v>
      </c>
      <c r="H3" s="211" t="s">
        <v>374</v>
      </c>
      <c r="I3" s="210" t="s">
        <v>69</v>
      </c>
      <c r="J3" s="209" t="s">
        <v>373</v>
      </c>
      <c r="K3" s="210" t="s">
        <v>69</v>
      </c>
      <c r="L3" s="209" t="s">
        <v>372</v>
      </c>
      <c r="M3" s="206" t="s">
        <v>40</v>
      </c>
      <c r="N3" s="206" t="s">
        <v>353</v>
      </c>
      <c r="O3" s="206" t="s">
        <v>358</v>
      </c>
      <c r="P3" s="206" t="s">
        <v>371</v>
      </c>
      <c r="Q3" s="206" t="s">
        <v>370</v>
      </c>
      <c r="R3" s="206" t="s">
        <v>369</v>
      </c>
      <c r="S3" s="206" t="s">
        <v>368</v>
      </c>
      <c r="T3" s="206" t="s">
        <v>367</v>
      </c>
      <c r="U3" s="206" t="s">
        <v>366</v>
      </c>
      <c r="V3" s="206" t="s">
        <v>365</v>
      </c>
      <c r="W3" s="206" t="s">
        <v>364</v>
      </c>
      <c r="X3" s="207" t="s">
        <v>363</v>
      </c>
      <c r="AA3" s="208" t="s">
        <v>40</v>
      </c>
      <c r="AB3" s="206" t="s">
        <v>353</v>
      </c>
      <c r="AC3" s="206" t="s">
        <v>362</v>
      </c>
      <c r="AD3" s="206" t="s">
        <v>361</v>
      </c>
      <c r="AE3" s="208" t="s">
        <v>40</v>
      </c>
      <c r="AF3" s="206" t="s">
        <v>352</v>
      </c>
      <c r="AG3" s="207" t="s">
        <v>360</v>
      </c>
      <c r="AH3" s="206" t="s">
        <v>40</v>
      </c>
      <c r="AI3" s="206" t="s">
        <v>353</v>
      </c>
      <c r="AJ3" s="206" t="s">
        <v>359</v>
      </c>
      <c r="AK3" s="206" t="s">
        <v>358</v>
      </c>
      <c r="AL3" s="207" t="s">
        <v>357</v>
      </c>
      <c r="AM3" s="206" t="s">
        <v>353</v>
      </c>
      <c r="AN3" s="206" t="s">
        <v>356</v>
      </c>
      <c r="AO3" s="206" t="s">
        <v>355</v>
      </c>
      <c r="AP3" s="206" t="s">
        <v>354</v>
      </c>
      <c r="AQ3" s="208" t="s">
        <v>353</v>
      </c>
      <c r="AR3" s="207" t="s">
        <v>352</v>
      </c>
    </row>
    <row r="4" spans="1:44" ht="46.8" x14ac:dyDescent="0.3">
      <c r="A4" s="199"/>
      <c r="B4" s="199"/>
      <c r="C4" s="199"/>
      <c r="D4" s="199"/>
      <c r="E4" s="199"/>
      <c r="F4" s="205"/>
      <c r="G4" s="205"/>
      <c r="H4" s="203"/>
      <c r="I4" s="205"/>
      <c r="J4" s="202"/>
      <c r="K4" s="205"/>
      <c r="L4" s="202"/>
      <c r="M4" s="206" t="s">
        <v>273</v>
      </c>
      <c r="N4" s="206" t="s">
        <v>75</v>
      </c>
      <c r="O4" s="206" t="s">
        <v>338</v>
      </c>
      <c r="P4" s="206" t="s">
        <v>351</v>
      </c>
      <c r="Q4" s="206" t="s">
        <v>350</v>
      </c>
      <c r="R4" s="206" t="s">
        <v>349</v>
      </c>
      <c r="S4" s="206" t="s">
        <v>348</v>
      </c>
      <c r="T4" s="206" t="s">
        <v>347</v>
      </c>
      <c r="U4" s="206" t="s">
        <v>346</v>
      </c>
      <c r="V4" s="206" t="s">
        <v>345</v>
      </c>
      <c r="W4" s="206" t="s">
        <v>344</v>
      </c>
      <c r="X4" s="207" t="s">
        <v>343</v>
      </c>
      <c r="AA4" s="172" t="s">
        <v>273</v>
      </c>
      <c r="AB4" s="168" t="s">
        <v>342</v>
      </c>
      <c r="AC4" s="168" t="s">
        <v>341</v>
      </c>
      <c r="AD4" s="168" t="s">
        <v>340</v>
      </c>
      <c r="AE4" s="172" t="s">
        <v>273</v>
      </c>
      <c r="AF4" s="168" t="s">
        <v>69</v>
      </c>
      <c r="AG4" s="171" t="s">
        <v>339</v>
      </c>
      <c r="AH4" s="168" t="s">
        <v>273</v>
      </c>
      <c r="AI4" s="168" t="s">
        <v>75</v>
      </c>
      <c r="AJ4" s="168" t="s">
        <v>229</v>
      </c>
      <c r="AK4" s="206" t="s">
        <v>338</v>
      </c>
      <c r="AL4" s="171" t="s">
        <v>337</v>
      </c>
      <c r="AM4" s="172" t="s">
        <v>75</v>
      </c>
      <c r="AN4" s="168" t="s">
        <v>336</v>
      </c>
      <c r="AO4" s="168" t="s">
        <v>335</v>
      </c>
      <c r="AP4" s="168" t="s">
        <v>334</v>
      </c>
      <c r="AQ4" s="172" t="s">
        <v>75</v>
      </c>
      <c r="AR4" s="171" t="s">
        <v>69</v>
      </c>
    </row>
    <row r="5" spans="1:44" ht="15" x14ac:dyDescent="0.3">
      <c r="A5" s="199"/>
      <c r="B5" s="199"/>
      <c r="E5" s="199"/>
      <c r="F5" s="205"/>
      <c r="G5" s="205"/>
      <c r="H5" s="203"/>
      <c r="I5" s="205"/>
      <c r="J5" s="202"/>
      <c r="K5" s="205"/>
      <c r="L5" s="202"/>
      <c r="M5" s="53"/>
      <c r="N5" s="53"/>
      <c r="O5" s="53"/>
      <c r="P5" s="66"/>
      <c r="Q5" s="66"/>
      <c r="R5" s="66"/>
      <c r="S5" s="188"/>
      <c r="T5" s="188"/>
      <c r="U5" s="66"/>
      <c r="V5" s="66"/>
      <c r="W5" s="66"/>
      <c r="X5" s="54"/>
      <c r="AA5" s="191"/>
      <c r="AB5" s="53"/>
      <c r="AC5" s="53"/>
      <c r="AD5" s="188"/>
      <c r="AE5" s="191"/>
      <c r="AF5" s="205"/>
      <c r="AG5" s="54"/>
      <c r="AH5" s="53"/>
      <c r="AI5" s="53"/>
      <c r="AJ5" s="53"/>
      <c r="AK5" s="53"/>
      <c r="AL5" s="54"/>
      <c r="AM5" s="191"/>
      <c r="AN5" s="188"/>
      <c r="AO5" s="188"/>
      <c r="AP5" s="188"/>
      <c r="AQ5" s="191"/>
      <c r="AR5" s="205"/>
    </row>
    <row r="6" spans="1:44" ht="15" x14ac:dyDescent="0.3">
      <c r="B6" s="199"/>
      <c r="C6" s="189"/>
      <c r="D6" s="199"/>
      <c r="E6" s="199"/>
      <c r="F6" s="204"/>
      <c r="G6" s="53"/>
      <c r="H6" s="203"/>
      <c r="I6" s="191"/>
      <c r="J6" s="202"/>
      <c r="K6" s="191"/>
      <c r="L6" s="202"/>
      <c r="M6" s="53"/>
      <c r="N6" s="53"/>
      <c r="O6" s="53"/>
      <c r="P6" s="66"/>
      <c r="Q6" s="66"/>
      <c r="R6" s="66"/>
      <c r="S6" s="188"/>
      <c r="T6" s="188"/>
      <c r="U6" s="66"/>
      <c r="V6" s="66"/>
      <c r="W6" s="66"/>
      <c r="X6" s="54"/>
      <c r="AA6" s="191"/>
      <c r="AB6" s="53"/>
      <c r="AC6" s="53"/>
      <c r="AD6" s="188"/>
      <c r="AE6" s="191"/>
      <c r="AF6" s="205"/>
      <c r="AG6" s="54"/>
      <c r="AH6" s="53"/>
      <c r="AI6" s="53"/>
      <c r="AJ6" s="53"/>
      <c r="AK6" s="53"/>
      <c r="AL6" s="54"/>
      <c r="AQ6" s="191"/>
      <c r="AR6" s="205"/>
    </row>
    <row r="7" spans="1:44" ht="15" x14ac:dyDescent="0.3">
      <c r="A7" s="199"/>
      <c r="B7" s="189"/>
      <c r="C7" s="189"/>
      <c r="D7" s="199"/>
      <c r="E7" s="199"/>
      <c r="F7" s="204"/>
      <c r="G7" s="53"/>
      <c r="H7" s="203"/>
      <c r="I7" s="191"/>
      <c r="J7" s="202"/>
      <c r="K7" s="191"/>
      <c r="L7" s="202"/>
      <c r="M7" s="53"/>
      <c r="N7" s="53"/>
      <c r="O7" s="53"/>
      <c r="P7" s="66"/>
      <c r="Q7" s="66"/>
      <c r="R7" s="66"/>
      <c r="S7" s="188"/>
      <c r="T7" s="188"/>
      <c r="U7" s="66"/>
      <c r="V7" s="66"/>
      <c r="W7" s="66"/>
      <c r="X7" s="54"/>
      <c r="AA7" s="191"/>
      <c r="AB7" s="53"/>
      <c r="AC7" s="53"/>
      <c r="AD7" s="188"/>
      <c r="AE7" s="191"/>
      <c r="AF7" s="53"/>
      <c r="AG7" s="54"/>
      <c r="AH7" s="53"/>
      <c r="AI7" s="53"/>
      <c r="AJ7" s="53"/>
      <c r="AK7" s="53"/>
      <c r="AL7" s="54"/>
      <c r="AM7" s="191"/>
      <c r="AN7" s="188"/>
      <c r="AO7" s="188"/>
      <c r="AP7" s="188"/>
      <c r="AQ7" s="191"/>
      <c r="AR7" s="190"/>
    </row>
    <row r="8" spans="1:44" ht="15" x14ac:dyDescent="0.3">
      <c r="A8" s="199"/>
      <c r="B8" s="189"/>
      <c r="C8" s="189"/>
      <c r="D8" s="199"/>
      <c r="E8" s="199"/>
      <c r="F8" s="185"/>
      <c r="G8" s="25"/>
      <c r="H8" s="200"/>
      <c r="I8" s="57"/>
      <c r="J8" s="200"/>
      <c r="K8" s="57"/>
      <c r="L8" s="200"/>
      <c r="M8" s="53"/>
      <c r="N8" s="53"/>
      <c r="O8" s="53"/>
      <c r="P8" s="66"/>
      <c r="Q8" s="66"/>
      <c r="R8" s="66"/>
      <c r="S8" s="188"/>
      <c r="T8" s="188"/>
      <c r="U8" s="187"/>
      <c r="V8" s="66"/>
      <c r="W8" s="66"/>
      <c r="X8" s="54"/>
      <c r="AA8" s="191"/>
      <c r="AB8" s="53"/>
      <c r="AC8" s="53"/>
      <c r="AD8" s="188"/>
      <c r="AE8" s="191"/>
      <c r="AF8" s="53"/>
      <c r="AG8" s="54"/>
      <c r="AH8" s="53"/>
      <c r="AI8" s="53"/>
      <c r="AJ8" s="53"/>
      <c r="AK8" s="53"/>
      <c r="AL8" s="54"/>
      <c r="AM8" s="191"/>
      <c r="AN8" s="188"/>
      <c r="AO8" s="188"/>
      <c r="AP8" s="188"/>
      <c r="AQ8" s="191"/>
      <c r="AR8" s="190"/>
    </row>
    <row r="9" spans="1:44" ht="15" x14ac:dyDescent="0.3">
      <c r="A9" s="189"/>
      <c r="B9" s="189"/>
      <c r="C9" s="189"/>
      <c r="D9" s="189"/>
      <c r="E9" s="199"/>
      <c r="F9" s="185"/>
      <c r="G9" s="25"/>
      <c r="H9" s="201"/>
      <c r="I9" s="57"/>
      <c r="J9" s="201"/>
      <c r="K9" s="57"/>
      <c r="L9" s="200"/>
      <c r="M9" s="53"/>
      <c r="N9" s="53"/>
      <c r="O9" s="53"/>
      <c r="P9" s="66"/>
      <c r="Q9" s="66"/>
      <c r="R9" s="66"/>
      <c r="S9" s="188"/>
      <c r="T9" s="188"/>
      <c r="U9" s="187"/>
      <c r="V9" s="66"/>
      <c r="W9" s="66"/>
      <c r="X9" s="54"/>
      <c r="AA9" s="191"/>
      <c r="AB9" s="53"/>
      <c r="AC9" s="53"/>
      <c r="AD9" s="188"/>
      <c r="AE9" s="185"/>
      <c r="AF9" s="2"/>
      <c r="AG9" s="186"/>
      <c r="AH9" s="53"/>
      <c r="AI9" s="53"/>
      <c r="AJ9" s="53"/>
      <c r="AK9" s="53"/>
      <c r="AL9" s="54"/>
      <c r="AM9" s="191"/>
      <c r="AN9" s="188"/>
      <c r="AO9" s="188"/>
      <c r="AP9" s="188"/>
      <c r="AQ9" s="191"/>
      <c r="AR9" s="190"/>
    </row>
    <row r="10" spans="1:44" ht="15" x14ac:dyDescent="0.3">
      <c r="A10" s="189"/>
      <c r="B10" s="189"/>
      <c r="C10" s="189"/>
      <c r="D10" s="189"/>
      <c r="E10" s="199"/>
      <c r="F10" s="185"/>
      <c r="G10" s="185"/>
      <c r="H10" s="186"/>
      <c r="I10" s="2"/>
      <c r="J10" s="186"/>
      <c r="K10" s="2"/>
      <c r="L10" s="186"/>
      <c r="M10" s="53"/>
      <c r="N10" s="53"/>
      <c r="O10" s="53"/>
      <c r="P10" s="66"/>
      <c r="Q10" s="66"/>
      <c r="R10" s="66"/>
      <c r="S10" s="188"/>
      <c r="T10" s="188"/>
      <c r="U10" s="187"/>
      <c r="V10" s="66"/>
      <c r="W10" s="66"/>
      <c r="X10" s="54"/>
      <c r="AA10" s="191"/>
      <c r="AB10" s="53"/>
      <c r="AC10" s="53"/>
      <c r="AD10" s="188"/>
      <c r="AE10" s="193"/>
      <c r="AF10" s="196"/>
      <c r="AG10" s="195"/>
      <c r="AH10" s="53"/>
      <c r="AI10" s="53"/>
      <c r="AJ10" s="53"/>
      <c r="AK10" s="53"/>
      <c r="AL10" s="54"/>
      <c r="AM10" s="185"/>
      <c r="AN10" s="2"/>
      <c r="AO10" s="2"/>
      <c r="AP10" s="2"/>
      <c r="AQ10" s="191"/>
      <c r="AR10" s="190"/>
    </row>
    <row r="11" spans="1:44" ht="15" x14ac:dyDescent="0.3">
      <c r="A11" s="189"/>
      <c r="B11" s="189"/>
      <c r="C11" s="189"/>
      <c r="D11" s="189"/>
      <c r="E11" s="199"/>
      <c r="F11" s="185"/>
      <c r="G11" s="185"/>
      <c r="H11" s="186"/>
      <c r="I11" s="2"/>
      <c r="J11" s="186"/>
      <c r="K11" s="2"/>
      <c r="L11" s="186"/>
      <c r="AA11" s="191"/>
      <c r="AB11" s="53"/>
      <c r="AC11" s="53"/>
      <c r="AD11" s="188"/>
      <c r="AE11" s="193"/>
      <c r="AF11" s="196"/>
      <c r="AG11" s="195"/>
      <c r="AM11" s="185"/>
      <c r="AN11" s="2"/>
      <c r="AO11" s="2"/>
      <c r="AP11" s="2"/>
      <c r="AQ11" s="191"/>
      <c r="AR11" s="190"/>
    </row>
    <row r="12" spans="1:44" ht="15" x14ac:dyDescent="0.3">
      <c r="A12" s="189"/>
      <c r="B12" s="189"/>
      <c r="C12" s="189"/>
      <c r="D12" s="189"/>
      <c r="E12" s="199"/>
      <c r="F12" s="185"/>
      <c r="G12" s="185"/>
      <c r="H12" s="186"/>
      <c r="I12" s="2"/>
      <c r="J12" s="186"/>
      <c r="K12" s="2"/>
      <c r="L12" s="186"/>
      <c r="M12" s="53"/>
      <c r="N12" s="53"/>
      <c r="O12" s="53"/>
      <c r="P12" s="66"/>
      <c r="Q12" s="66"/>
      <c r="R12" s="66"/>
      <c r="S12" s="188"/>
      <c r="T12" s="188"/>
      <c r="U12" s="66"/>
      <c r="V12" s="66"/>
      <c r="W12" s="66"/>
      <c r="X12" s="54"/>
      <c r="AA12" s="191"/>
      <c r="AB12" s="53"/>
      <c r="AC12" s="53"/>
      <c r="AD12" s="188"/>
      <c r="AE12" s="193"/>
      <c r="AF12" s="196"/>
      <c r="AG12" s="195"/>
      <c r="AM12" s="185"/>
      <c r="AN12" s="2"/>
      <c r="AO12" s="2"/>
      <c r="AP12" s="2"/>
      <c r="AQ12" s="191"/>
      <c r="AR12" s="190"/>
    </row>
    <row r="13" spans="1:44" ht="15" x14ac:dyDescent="0.3">
      <c r="A13" s="189"/>
      <c r="B13" s="189"/>
      <c r="C13" s="189"/>
      <c r="D13" s="189"/>
      <c r="E13" s="199"/>
      <c r="F13" s="198"/>
      <c r="G13" s="198"/>
      <c r="H13" s="197"/>
      <c r="I13" s="2"/>
      <c r="J13" s="186"/>
      <c r="K13" s="2"/>
      <c r="L13" s="186"/>
      <c r="M13" s="53"/>
      <c r="N13" s="53"/>
      <c r="O13" s="53"/>
      <c r="P13" s="66"/>
      <c r="Q13" s="66"/>
      <c r="R13" s="66"/>
      <c r="S13" s="188"/>
      <c r="T13" s="188"/>
      <c r="U13" s="66"/>
      <c r="V13" s="66"/>
      <c r="W13" s="66"/>
      <c r="X13" s="54"/>
      <c r="AE13" s="193"/>
      <c r="AF13" s="196"/>
      <c r="AG13" s="195"/>
      <c r="AM13" s="185"/>
      <c r="AN13" s="2"/>
      <c r="AO13" s="2"/>
      <c r="AP13" s="2"/>
      <c r="AQ13" s="191"/>
      <c r="AR13" s="190"/>
    </row>
    <row r="14" spans="1:44" ht="15" x14ac:dyDescent="0.3">
      <c r="A14" s="189"/>
      <c r="B14" s="189"/>
      <c r="C14" s="189"/>
      <c r="D14" s="189"/>
      <c r="E14" s="189"/>
      <c r="F14" s="193"/>
      <c r="G14" s="192"/>
      <c r="H14" s="194"/>
      <c r="I14" s="2"/>
      <c r="J14" s="186"/>
      <c r="K14" s="2"/>
      <c r="L14" s="186"/>
      <c r="M14" s="53"/>
      <c r="N14" s="53"/>
      <c r="O14" s="53"/>
      <c r="P14" s="66"/>
      <c r="Q14" s="66"/>
      <c r="R14" s="66"/>
      <c r="S14" s="188"/>
      <c r="T14" s="188"/>
      <c r="U14" s="66"/>
      <c r="V14" s="66"/>
      <c r="W14" s="66"/>
      <c r="X14" s="54"/>
      <c r="AA14" s="191"/>
      <c r="AB14" s="53"/>
      <c r="AC14" s="53"/>
      <c r="AD14" s="188"/>
      <c r="AE14" s="185"/>
      <c r="AF14" s="2"/>
      <c r="AG14" s="186"/>
      <c r="AH14" s="53"/>
      <c r="AI14" s="53"/>
      <c r="AJ14" s="53"/>
      <c r="AK14" s="53"/>
      <c r="AL14" s="54"/>
      <c r="AM14" s="185"/>
      <c r="AN14" s="2"/>
      <c r="AO14" s="2"/>
      <c r="AP14" s="2"/>
      <c r="AQ14" s="191"/>
      <c r="AR14" s="190"/>
    </row>
    <row r="15" spans="1:44" ht="15" x14ac:dyDescent="0.3">
      <c r="A15" s="189"/>
      <c r="B15" s="189"/>
      <c r="C15" s="189"/>
      <c r="D15" s="189"/>
      <c r="E15" s="189"/>
      <c r="F15" s="193"/>
      <c r="G15" s="192"/>
      <c r="H15" s="194"/>
      <c r="I15" s="2"/>
      <c r="J15" s="186"/>
      <c r="K15" s="2"/>
      <c r="L15" s="186"/>
      <c r="M15" s="53"/>
      <c r="N15" s="53"/>
      <c r="O15" s="53"/>
      <c r="P15" s="66"/>
      <c r="Q15" s="66"/>
      <c r="R15" s="66"/>
      <c r="S15" s="188"/>
      <c r="T15" s="188"/>
      <c r="U15" s="66"/>
      <c r="V15" s="66"/>
      <c r="W15" s="66"/>
      <c r="X15" s="54"/>
      <c r="AA15" s="191"/>
      <c r="AB15" s="53"/>
      <c r="AC15" s="53"/>
      <c r="AD15" s="188"/>
      <c r="AE15" s="185"/>
      <c r="AF15" s="2"/>
      <c r="AG15" s="186"/>
      <c r="AH15" s="53"/>
      <c r="AI15" s="53"/>
      <c r="AJ15" s="53"/>
      <c r="AK15" s="53"/>
      <c r="AL15" s="54"/>
      <c r="AM15" s="185"/>
      <c r="AN15" s="2"/>
      <c r="AO15" s="2"/>
      <c r="AP15" s="2"/>
      <c r="AQ15" s="191"/>
      <c r="AR15" s="190"/>
    </row>
    <row r="16" spans="1:44" ht="15" x14ac:dyDescent="0.3">
      <c r="A16" s="189"/>
      <c r="B16" s="189"/>
      <c r="C16" s="189"/>
      <c r="D16" s="189"/>
      <c r="E16" s="189"/>
      <c r="F16" s="193"/>
      <c r="G16" s="192"/>
      <c r="H16" s="194"/>
      <c r="I16" s="2"/>
      <c r="J16" s="186"/>
      <c r="K16" s="2"/>
      <c r="L16" s="186"/>
      <c r="AE16" s="185"/>
      <c r="AF16" s="2"/>
      <c r="AG16" s="186"/>
      <c r="AH16" s="53"/>
      <c r="AI16" s="53"/>
      <c r="AJ16" s="53"/>
      <c r="AK16" s="53"/>
      <c r="AL16" s="54"/>
      <c r="AM16" s="185"/>
      <c r="AN16" s="2"/>
      <c r="AO16" s="2"/>
      <c r="AP16" s="2"/>
      <c r="AQ16" s="191"/>
      <c r="AR16" s="190"/>
    </row>
    <row r="17" spans="1:44" ht="15" x14ac:dyDescent="0.3">
      <c r="A17" s="189"/>
      <c r="B17" s="189"/>
      <c r="C17" s="189"/>
      <c r="D17" s="189"/>
      <c r="E17" s="189"/>
      <c r="F17" s="193"/>
      <c r="G17" s="192"/>
      <c r="I17" s="2"/>
      <c r="J17" s="186"/>
      <c r="K17" s="2"/>
      <c r="L17" s="186"/>
      <c r="M17" s="53"/>
      <c r="N17" s="53"/>
      <c r="O17" s="53"/>
      <c r="P17" s="66"/>
      <c r="Q17" s="66"/>
      <c r="R17" s="66"/>
      <c r="S17" s="188"/>
      <c r="T17" s="188"/>
      <c r="U17" s="66"/>
      <c r="V17" s="66"/>
      <c r="W17" s="66"/>
      <c r="X17" s="54"/>
      <c r="AA17" s="191"/>
      <c r="AB17" s="53"/>
      <c r="AC17" s="53"/>
      <c r="AD17" s="188"/>
      <c r="AE17" s="185"/>
      <c r="AF17" s="2"/>
      <c r="AG17" s="186"/>
      <c r="AH17" s="53"/>
      <c r="AI17" s="53"/>
      <c r="AJ17" s="53"/>
      <c r="AK17" s="53"/>
      <c r="AL17" s="54"/>
      <c r="AM17" s="185"/>
      <c r="AN17" s="2"/>
      <c r="AO17" s="2"/>
      <c r="AP17" s="2"/>
    </row>
    <row r="18" spans="1:44" ht="15" x14ac:dyDescent="0.3">
      <c r="A18" s="189"/>
      <c r="B18" s="189"/>
      <c r="C18" s="189"/>
      <c r="D18" s="189"/>
      <c r="E18" s="189"/>
      <c r="F18" s="185"/>
      <c r="G18" s="185"/>
      <c r="H18" s="186"/>
      <c r="I18" s="2"/>
      <c r="J18" s="186"/>
      <c r="K18" s="2"/>
      <c r="L18" s="186"/>
      <c r="M18" s="53"/>
      <c r="N18" s="53"/>
      <c r="O18" s="53"/>
      <c r="P18" s="66"/>
      <c r="Q18" s="66"/>
      <c r="R18" s="66"/>
      <c r="S18" s="188"/>
      <c r="T18" s="188"/>
      <c r="U18" s="66"/>
      <c r="V18" s="66"/>
      <c r="W18" s="66"/>
      <c r="X18" s="54"/>
      <c r="AA18" s="191"/>
      <c r="AB18" s="53"/>
      <c r="AC18" s="53"/>
      <c r="AD18" s="188"/>
      <c r="AE18" s="185"/>
      <c r="AF18" s="2"/>
      <c r="AG18" s="186"/>
      <c r="AM18" s="185"/>
      <c r="AN18" s="2"/>
      <c r="AO18" s="2"/>
      <c r="AP18" s="2"/>
    </row>
    <row r="19" spans="1:44" ht="15" x14ac:dyDescent="0.3">
      <c r="A19" s="189"/>
      <c r="B19" s="189"/>
      <c r="C19" s="189"/>
      <c r="D19" s="189"/>
      <c r="E19" s="189"/>
      <c r="F19" s="185"/>
      <c r="G19" s="185"/>
      <c r="H19" s="186"/>
      <c r="I19" s="2"/>
      <c r="J19" s="186"/>
      <c r="K19" s="2"/>
      <c r="L19" s="186"/>
      <c r="M19" s="53"/>
      <c r="N19" s="53"/>
      <c r="O19" s="53"/>
      <c r="P19" s="66"/>
      <c r="Q19" s="66"/>
      <c r="R19" s="66"/>
      <c r="S19" s="188"/>
      <c r="T19" s="188"/>
      <c r="U19" s="66"/>
      <c r="V19" s="66"/>
      <c r="W19" s="66"/>
      <c r="X19" s="54"/>
      <c r="AA19" s="191"/>
      <c r="AB19" s="53"/>
      <c r="AC19" s="53"/>
      <c r="AD19" s="188"/>
      <c r="AE19" s="185"/>
      <c r="AF19" s="2"/>
      <c r="AG19" s="186"/>
      <c r="AH19" s="53"/>
      <c r="AI19" s="53"/>
      <c r="AJ19" s="53"/>
      <c r="AK19" s="53"/>
      <c r="AL19" s="54"/>
      <c r="AM19" s="185"/>
      <c r="AN19" s="2"/>
      <c r="AO19" s="2"/>
      <c r="AP19" s="2"/>
      <c r="AQ19" s="191"/>
      <c r="AR19" s="190"/>
    </row>
    <row r="20" spans="1:44" ht="15" x14ac:dyDescent="0.3">
      <c r="A20" s="189"/>
      <c r="B20" s="189"/>
      <c r="C20" s="189"/>
      <c r="D20" s="189"/>
      <c r="E20" s="189"/>
      <c r="F20" s="185"/>
      <c r="G20" s="185"/>
      <c r="H20" s="186"/>
      <c r="I20" s="2"/>
      <c r="J20" s="186"/>
      <c r="K20" s="2"/>
      <c r="L20" s="186"/>
      <c r="M20" s="53"/>
      <c r="N20" s="53"/>
      <c r="O20" s="53"/>
      <c r="P20" s="66"/>
      <c r="Q20" s="66"/>
      <c r="R20" s="66"/>
      <c r="S20" s="188"/>
      <c r="T20" s="188"/>
      <c r="U20" s="66"/>
      <c r="V20" s="66"/>
      <c r="W20" s="66"/>
      <c r="X20" s="54"/>
      <c r="AA20" s="185"/>
      <c r="AB20" s="2"/>
      <c r="AC20" s="2"/>
      <c r="AD20" s="2"/>
      <c r="AE20" s="185"/>
      <c r="AF20" s="2"/>
      <c r="AG20" s="186"/>
      <c r="AH20" s="53"/>
      <c r="AI20" s="53"/>
      <c r="AJ20" s="53"/>
      <c r="AK20" s="53"/>
      <c r="AL20" s="54"/>
      <c r="AM20" s="185"/>
      <c r="AN20" s="2"/>
      <c r="AO20" s="2"/>
      <c r="AP20" s="2"/>
      <c r="AQ20" s="191"/>
      <c r="AR20" s="190"/>
    </row>
    <row r="21" spans="1:44" ht="15" x14ac:dyDescent="0.3">
      <c r="A21" s="189"/>
      <c r="B21" s="189"/>
      <c r="C21" s="189"/>
      <c r="D21" s="189"/>
      <c r="E21" s="189"/>
      <c r="F21" s="185"/>
      <c r="G21" s="185"/>
      <c r="H21" s="186"/>
      <c r="I21" s="2"/>
      <c r="J21" s="186"/>
      <c r="K21" s="2"/>
      <c r="L21" s="186"/>
      <c r="AA21" s="185"/>
      <c r="AB21" s="2"/>
      <c r="AC21" s="2"/>
      <c r="AD21" s="2"/>
      <c r="AE21" s="185"/>
      <c r="AF21" s="2"/>
      <c r="AG21" s="186"/>
      <c r="AH21" s="53"/>
      <c r="AI21" s="53"/>
      <c r="AJ21" s="53"/>
      <c r="AK21" s="53"/>
      <c r="AL21" s="54"/>
      <c r="AM21" s="185"/>
      <c r="AN21" s="2"/>
      <c r="AO21" s="2"/>
      <c r="AP21" s="2"/>
      <c r="AQ21" s="191"/>
      <c r="AR21" s="190"/>
    </row>
    <row r="22" spans="1:44" ht="15" x14ac:dyDescent="0.3">
      <c r="A22" s="189"/>
      <c r="B22" s="189"/>
      <c r="C22" s="189"/>
      <c r="D22" s="189"/>
      <c r="E22" s="189"/>
      <c r="F22" s="185"/>
      <c r="G22" s="185"/>
      <c r="H22" s="186"/>
      <c r="I22" s="2"/>
      <c r="J22" s="186"/>
      <c r="K22" s="2"/>
      <c r="L22" s="186"/>
      <c r="M22" s="53"/>
      <c r="N22" s="53"/>
      <c r="O22" s="53"/>
      <c r="P22" s="66"/>
      <c r="Q22" s="66"/>
      <c r="R22" s="66"/>
      <c r="S22" s="188"/>
      <c r="T22" s="188"/>
      <c r="U22" s="187"/>
      <c r="V22" s="66"/>
      <c r="W22" s="66"/>
      <c r="X22" s="54"/>
      <c r="AA22" s="185"/>
      <c r="AB22" s="2"/>
      <c r="AC22" s="2"/>
      <c r="AD22" s="2"/>
      <c r="AE22" s="185"/>
      <c r="AF22" s="2"/>
      <c r="AG22" s="186"/>
      <c r="AH22" s="53"/>
      <c r="AI22" s="53"/>
      <c r="AJ22" s="53"/>
      <c r="AK22" s="53"/>
      <c r="AL22" s="54"/>
      <c r="AM22" s="185"/>
      <c r="AN22" s="2"/>
      <c r="AO22" s="2"/>
      <c r="AP22" s="2"/>
      <c r="AQ22" s="191"/>
      <c r="AR22" s="190"/>
    </row>
    <row r="23" spans="1:44" ht="15" x14ac:dyDescent="0.3">
      <c r="A23" s="189"/>
      <c r="B23" s="189"/>
      <c r="C23" s="189"/>
      <c r="D23" s="189"/>
      <c r="E23" s="189"/>
      <c r="F23" s="185"/>
      <c r="G23" s="185"/>
      <c r="H23" s="186"/>
      <c r="I23" s="2"/>
      <c r="J23" s="186"/>
      <c r="K23" s="2"/>
      <c r="L23" s="186"/>
      <c r="M23" s="53"/>
      <c r="N23" s="53"/>
      <c r="O23" s="53"/>
      <c r="P23" s="66"/>
      <c r="Q23" s="66"/>
      <c r="R23" s="66"/>
      <c r="S23" s="188"/>
      <c r="T23" s="188"/>
      <c r="U23" s="187"/>
      <c r="V23" s="66"/>
      <c r="W23" s="66"/>
      <c r="X23" s="54"/>
      <c r="AA23" s="185"/>
      <c r="AB23" s="2"/>
      <c r="AC23" s="2"/>
      <c r="AD23" s="2"/>
      <c r="AE23" s="185"/>
      <c r="AF23" s="2"/>
      <c r="AG23" s="186"/>
      <c r="AM23" s="185"/>
      <c r="AN23" s="2"/>
      <c r="AO23" s="2"/>
      <c r="AP23" s="2"/>
      <c r="AQ23" s="191"/>
      <c r="AR23" s="190"/>
    </row>
    <row r="24" spans="1:44" ht="15" x14ac:dyDescent="0.3">
      <c r="A24" s="189"/>
      <c r="B24" s="189"/>
      <c r="C24" s="189"/>
      <c r="D24" s="189"/>
      <c r="E24" s="189"/>
      <c r="F24" s="185"/>
      <c r="G24" s="185"/>
      <c r="H24" s="186"/>
      <c r="I24" s="2"/>
      <c r="J24" s="186"/>
      <c r="K24" s="2"/>
      <c r="L24" s="186"/>
      <c r="M24" s="53"/>
      <c r="N24" s="53"/>
      <c r="O24" s="53"/>
      <c r="P24" s="66"/>
      <c r="Q24" s="66"/>
      <c r="R24" s="66"/>
      <c r="S24" s="188"/>
      <c r="T24" s="188"/>
      <c r="U24" s="187"/>
      <c r="V24" s="66"/>
      <c r="W24" s="66"/>
      <c r="X24" s="54"/>
      <c r="AA24" s="185"/>
      <c r="AB24" s="2"/>
      <c r="AC24" s="2"/>
      <c r="AD24" s="2"/>
      <c r="AE24" s="185"/>
      <c r="AF24" s="2"/>
      <c r="AG24" s="186"/>
      <c r="AH24" s="53"/>
      <c r="AI24" s="53"/>
      <c r="AJ24" s="53"/>
      <c r="AK24" s="53"/>
      <c r="AL24" s="54"/>
      <c r="AM24" s="185"/>
      <c r="AN24" s="2"/>
      <c r="AO24" s="2"/>
      <c r="AP24" s="2"/>
      <c r="AQ24" s="191"/>
      <c r="AR24" s="190"/>
    </row>
    <row r="25" spans="1:44" ht="15.6" x14ac:dyDescent="0.3">
      <c r="A25" s="189"/>
      <c r="B25" s="189"/>
      <c r="C25" s="189"/>
      <c r="D25" s="189"/>
      <c r="E25" s="189"/>
      <c r="F25" s="185"/>
      <c r="G25" s="185"/>
      <c r="H25" s="186"/>
      <c r="I25" s="2"/>
      <c r="J25" s="186"/>
      <c r="K25" s="2"/>
      <c r="L25" s="186"/>
      <c r="M25" s="53"/>
      <c r="N25" s="53"/>
      <c r="O25" s="53"/>
      <c r="P25" s="66"/>
      <c r="Q25" s="66"/>
      <c r="R25" s="66"/>
      <c r="S25" s="188"/>
      <c r="T25" s="188"/>
      <c r="U25" s="187"/>
      <c r="V25" s="66"/>
      <c r="W25" s="66"/>
      <c r="X25" s="54"/>
      <c r="AA25" s="185"/>
      <c r="AB25" s="2"/>
      <c r="AC25" s="2"/>
      <c r="AD25" s="2"/>
      <c r="AE25" s="185"/>
      <c r="AF25" s="2"/>
      <c r="AG25" s="186"/>
      <c r="AH25" s="53"/>
      <c r="AI25" s="53"/>
      <c r="AJ25" s="53"/>
      <c r="AK25" s="53"/>
      <c r="AL25" s="54"/>
      <c r="AM25" s="185"/>
      <c r="AN25" s="2"/>
      <c r="AO25" s="2"/>
      <c r="AP25" s="2"/>
      <c r="AQ25" s="184"/>
      <c r="AR25" s="183"/>
    </row>
    <row r="26" spans="1:44" ht="15.6" x14ac:dyDescent="0.3">
      <c r="A26" s="189"/>
      <c r="B26" s="189"/>
      <c r="C26" s="189"/>
      <c r="D26" s="189"/>
      <c r="E26" s="189"/>
      <c r="F26" s="185"/>
      <c r="G26" s="185"/>
      <c r="H26" s="186"/>
      <c r="I26" s="2"/>
      <c r="J26" s="186"/>
      <c r="K26" s="2"/>
      <c r="L26" s="186"/>
      <c r="AA26" s="185"/>
      <c r="AB26" s="2"/>
      <c r="AC26" s="2"/>
      <c r="AD26" s="2"/>
      <c r="AE26" s="185"/>
      <c r="AF26" s="2"/>
      <c r="AG26" s="186"/>
      <c r="AH26" s="53"/>
      <c r="AI26" s="53"/>
      <c r="AJ26" s="53"/>
      <c r="AK26" s="53"/>
      <c r="AL26" s="54"/>
      <c r="AM26" s="185"/>
      <c r="AN26" s="2"/>
      <c r="AO26" s="2"/>
      <c r="AP26" s="2"/>
      <c r="AQ26" s="184"/>
      <c r="AR26" s="183"/>
    </row>
    <row r="27" spans="1:44" ht="15.6" x14ac:dyDescent="0.3">
      <c r="A27" s="189"/>
      <c r="B27" s="189"/>
      <c r="C27" s="189"/>
      <c r="D27" s="189"/>
      <c r="E27" s="189"/>
      <c r="F27" s="185"/>
      <c r="G27" s="185"/>
      <c r="H27" s="186"/>
      <c r="I27" s="2"/>
      <c r="J27" s="186"/>
      <c r="K27" s="2"/>
      <c r="L27" s="186"/>
      <c r="M27" s="53"/>
      <c r="N27" s="53"/>
      <c r="O27" s="53"/>
      <c r="P27" s="66"/>
      <c r="Q27" s="66"/>
      <c r="R27" s="66"/>
      <c r="S27" s="188"/>
      <c r="T27" s="188"/>
      <c r="U27" s="187"/>
      <c r="V27" s="66"/>
      <c r="W27" s="66"/>
      <c r="X27" s="54"/>
      <c r="AA27" s="185"/>
      <c r="AB27" s="2"/>
      <c r="AC27" s="2"/>
      <c r="AD27" s="2"/>
      <c r="AE27" s="185"/>
      <c r="AF27" s="2"/>
      <c r="AG27" s="186"/>
      <c r="AH27" s="53"/>
      <c r="AI27" s="53"/>
      <c r="AJ27" s="53"/>
      <c r="AK27" s="53"/>
      <c r="AL27" s="54"/>
      <c r="AM27" s="185"/>
      <c r="AN27" s="2"/>
      <c r="AO27" s="2"/>
      <c r="AP27" s="2"/>
      <c r="AQ27" s="184"/>
      <c r="AR27" s="183"/>
    </row>
    <row r="28" spans="1:44" ht="15.6" x14ac:dyDescent="0.3">
      <c r="A28" s="189"/>
      <c r="B28" s="189"/>
      <c r="C28" s="189"/>
      <c r="D28" s="189"/>
      <c r="E28" s="189"/>
      <c r="F28" s="185"/>
      <c r="G28" s="185"/>
      <c r="H28" s="186"/>
      <c r="I28" s="2"/>
      <c r="J28" s="186"/>
      <c r="K28" s="2"/>
      <c r="L28" s="186"/>
      <c r="M28" s="53"/>
      <c r="N28" s="53"/>
      <c r="O28" s="53"/>
      <c r="P28" s="66"/>
      <c r="Q28" s="66"/>
      <c r="R28" s="66"/>
      <c r="S28" s="188"/>
      <c r="T28" s="188"/>
      <c r="U28" s="187"/>
      <c r="V28" s="66"/>
      <c r="W28" s="66"/>
      <c r="X28" s="54"/>
      <c r="AA28" s="185"/>
      <c r="AB28" s="2"/>
      <c r="AC28" s="2"/>
      <c r="AD28" s="2"/>
      <c r="AE28" s="185"/>
      <c r="AF28" s="2"/>
      <c r="AG28" s="186"/>
      <c r="AM28" s="185"/>
      <c r="AN28" s="2"/>
      <c r="AO28" s="2"/>
      <c r="AP28" s="2"/>
      <c r="AQ28" s="184"/>
      <c r="AR28" s="183"/>
    </row>
    <row r="29" spans="1:44" ht="15.6" x14ac:dyDescent="0.3">
      <c r="A29" s="189"/>
      <c r="B29" s="189"/>
      <c r="C29" s="189"/>
      <c r="D29" s="189"/>
      <c r="E29" s="189"/>
      <c r="F29" s="185"/>
      <c r="G29" s="185"/>
      <c r="H29" s="186"/>
      <c r="I29" s="2"/>
      <c r="J29" s="186"/>
      <c r="K29" s="2"/>
      <c r="L29" s="186"/>
      <c r="M29" s="53"/>
      <c r="N29" s="53"/>
      <c r="O29" s="53"/>
      <c r="P29" s="66"/>
      <c r="Q29" s="66"/>
      <c r="R29" s="66"/>
      <c r="S29" s="188"/>
      <c r="T29" s="188"/>
      <c r="U29" s="187"/>
      <c r="V29" s="66"/>
      <c r="W29" s="66"/>
      <c r="X29" s="54"/>
      <c r="AA29" s="185"/>
      <c r="AB29" s="2"/>
      <c r="AC29" s="2"/>
      <c r="AD29" s="2"/>
      <c r="AE29" s="185"/>
      <c r="AF29" s="2"/>
      <c r="AG29" s="186"/>
      <c r="AH29" s="53"/>
      <c r="AI29" s="53"/>
      <c r="AJ29" s="53"/>
      <c r="AK29" s="53"/>
      <c r="AL29" s="54"/>
      <c r="AM29" s="185"/>
      <c r="AN29" s="2"/>
      <c r="AO29" s="2"/>
      <c r="AP29" s="2"/>
      <c r="AQ29" s="184"/>
      <c r="AR29" s="183"/>
    </row>
    <row r="30" spans="1:44" ht="15.6" x14ac:dyDescent="0.3">
      <c r="A30" s="189"/>
      <c r="B30" s="189"/>
      <c r="C30" s="189"/>
      <c r="D30" s="189"/>
      <c r="E30" s="189"/>
      <c r="F30" s="185"/>
      <c r="G30" s="185"/>
      <c r="H30" s="186"/>
      <c r="I30" s="2"/>
      <c r="J30" s="186"/>
      <c r="K30" s="2"/>
      <c r="L30" s="186"/>
      <c r="M30" s="53"/>
      <c r="N30" s="53"/>
      <c r="O30" s="53"/>
      <c r="P30" s="66"/>
      <c r="Q30" s="66"/>
      <c r="R30" s="66"/>
      <c r="S30" s="188"/>
      <c r="T30" s="188"/>
      <c r="U30" s="187"/>
      <c r="V30" s="66"/>
      <c r="W30" s="66"/>
      <c r="X30" s="54"/>
      <c r="AA30" s="185"/>
      <c r="AB30" s="2"/>
      <c r="AC30" s="2"/>
      <c r="AD30" s="2"/>
      <c r="AE30" s="185"/>
      <c r="AF30" s="2"/>
      <c r="AG30" s="186"/>
      <c r="AH30" s="53"/>
      <c r="AI30" s="53"/>
      <c r="AJ30" s="53"/>
      <c r="AK30" s="53"/>
      <c r="AL30" s="54"/>
      <c r="AM30" s="185"/>
      <c r="AN30" s="2"/>
      <c r="AO30" s="2"/>
      <c r="AP30" s="2"/>
      <c r="AQ30" s="184"/>
      <c r="AR30" s="183"/>
    </row>
    <row r="31" spans="1:44" ht="15.6" x14ac:dyDescent="0.3">
      <c r="A31" s="189"/>
      <c r="B31" s="189"/>
      <c r="C31" s="189"/>
      <c r="D31" s="189"/>
      <c r="E31" s="189"/>
      <c r="F31" s="185"/>
      <c r="G31" s="185"/>
      <c r="H31" s="186"/>
      <c r="I31" s="2"/>
      <c r="J31" s="186"/>
      <c r="K31" s="2"/>
      <c r="L31" s="186"/>
      <c r="AA31" s="185"/>
      <c r="AB31" s="2"/>
      <c r="AC31" s="2"/>
      <c r="AD31" s="2"/>
      <c r="AE31" s="185"/>
      <c r="AF31" s="2"/>
      <c r="AG31" s="186"/>
      <c r="AH31" s="53"/>
      <c r="AI31" s="53"/>
      <c r="AJ31" s="53"/>
      <c r="AK31" s="53"/>
      <c r="AL31" s="54"/>
      <c r="AM31" s="185"/>
      <c r="AN31" s="2"/>
      <c r="AO31" s="2"/>
      <c r="AP31" s="2"/>
      <c r="AQ31" s="184"/>
      <c r="AR31" s="183"/>
    </row>
    <row r="32" spans="1:44" ht="15.6" x14ac:dyDescent="0.3">
      <c r="A32" s="189"/>
      <c r="B32" s="189"/>
      <c r="C32" s="189"/>
      <c r="D32" s="189"/>
      <c r="E32" s="189"/>
      <c r="F32" s="185"/>
      <c r="G32" s="185"/>
      <c r="H32" s="186"/>
      <c r="I32" s="2"/>
      <c r="J32" s="186"/>
      <c r="K32" s="2"/>
      <c r="L32" s="186"/>
      <c r="M32" s="53"/>
      <c r="N32" s="53"/>
      <c r="O32" s="53"/>
      <c r="P32" s="66"/>
      <c r="Q32" s="66"/>
      <c r="R32" s="66"/>
      <c r="S32" s="188"/>
      <c r="T32" s="188"/>
      <c r="U32" s="187"/>
      <c r="V32" s="66"/>
      <c r="W32" s="66"/>
      <c r="X32" s="54"/>
      <c r="AA32" s="185"/>
      <c r="AB32" s="2"/>
      <c r="AC32" s="2"/>
      <c r="AD32" s="2"/>
      <c r="AE32" s="185"/>
      <c r="AF32" s="2"/>
      <c r="AG32" s="186"/>
      <c r="AH32" s="53"/>
      <c r="AI32" s="53"/>
      <c r="AJ32" s="53"/>
      <c r="AK32" s="53"/>
      <c r="AL32" s="54"/>
      <c r="AM32" s="185"/>
      <c r="AN32" s="2"/>
      <c r="AO32" s="2"/>
      <c r="AP32" s="2"/>
      <c r="AQ32" s="184"/>
      <c r="AR32" s="183"/>
    </row>
    <row r="33" spans="1:44" ht="15.6" x14ac:dyDescent="0.3">
      <c r="A33" s="189"/>
      <c r="B33" s="189"/>
      <c r="C33" s="189"/>
      <c r="D33" s="189"/>
      <c r="E33" s="189"/>
      <c r="F33" s="185"/>
      <c r="G33" s="185"/>
      <c r="H33" s="186"/>
      <c r="I33" s="2"/>
      <c r="J33" s="186"/>
      <c r="K33" s="2"/>
      <c r="L33" s="186"/>
      <c r="M33" s="53"/>
      <c r="N33" s="53"/>
      <c r="O33" s="53"/>
      <c r="P33" s="66"/>
      <c r="Q33" s="66"/>
      <c r="R33" s="66"/>
      <c r="S33" s="188"/>
      <c r="T33" s="188"/>
      <c r="U33" s="187"/>
      <c r="V33" s="66"/>
      <c r="W33" s="66"/>
      <c r="X33" s="54"/>
      <c r="AA33" s="185"/>
      <c r="AB33" s="2"/>
      <c r="AC33" s="2"/>
      <c r="AD33" s="2"/>
      <c r="AE33" s="185"/>
      <c r="AF33" s="2"/>
      <c r="AG33" s="186"/>
      <c r="AM33" s="185"/>
      <c r="AN33" s="2"/>
      <c r="AO33" s="2"/>
      <c r="AP33" s="2"/>
      <c r="AQ33" s="184"/>
      <c r="AR33" s="183"/>
    </row>
    <row r="34" spans="1:44" ht="15.6" x14ac:dyDescent="0.3">
      <c r="A34" s="189"/>
      <c r="B34" s="189"/>
      <c r="C34" s="189"/>
      <c r="D34" s="189"/>
      <c r="E34" s="189"/>
      <c r="F34" s="185"/>
      <c r="G34" s="185"/>
      <c r="H34" s="186"/>
      <c r="I34" s="2"/>
      <c r="J34" s="186"/>
      <c r="K34" s="2"/>
      <c r="L34" s="186"/>
      <c r="M34" s="53"/>
      <c r="N34" s="53"/>
      <c r="O34" s="53"/>
      <c r="P34" s="66"/>
      <c r="Q34" s="66"/>
      <c r="R34" s="66"/>
      <c r="S34" s="188"/>
      <c r="T34" s="188"/>
      <c r="U34" s="187"/>
      <c r="V34" s="66"/>
      <c r="W34" s="66"/>
      <c r="X34" s="54"/>
      <c r="AA34" s="185"/>
      <c r="AB34" s="2"/>
      <c r="AC34" s="2"/>
      <c r="AD34" s="2"/>
      <c r="AE34" s="185"/>
      <c r="AF34" s="2"/>
      <c r="AG34" s="186"/>
      <c r="AH34" s="53"/>
      <c r="AI34" s="53"/>
      <c r="AJ34" s="53"/>
      <c r="AK34" s="53"/>
      <c r="AL34" s="54"/>
      <c r="AM34" s="185"/>
      <c r="AN34" s="2"/>
      <c r="AO34" s="2"/>
      <c r="AP34" s="2"/>
      <c r="AQ34" s="184"/>
      <c r="AR34" s="183"/>
    </row>
    <row r="35" spans="1:44" ht="15" x14ac:dyDescent="0.3">
      <c r="AH35" s="53"/>
      <c r="AI35" s="53"/>
      <c r="AJ35" s="53"/>
      <c r="AK35" s="53"/>
      <c r="AL35" s="54"/>
    </row>
    <row r="36" spans="1:44" ht="15" x14ac:dyDescent="0.3">
      <c r="AH36" s="53"/>
      <c r="AI36" s="53"/>
      <c r="AJ36" s="53"/>
      <c r="AK36" s="53"/>
      <c r="AL36" s="54"/>
    </row>
    <row r="37" spans="1:44" ht="15" x14ac:dyDescent="0.3">
      <c r="AH37" s="53"/>
      <c r="AI37" s="53"/>
      <c r="AJ37" s="53"/>
      <c r="AK37" s="53"/>
      <c r="AL37" s="54"/>
    </row>
    <row r="38" spans="1:44" ht="15" x14ac:dyDescent="0.3">
      <c r="AH38" s="53"/>
      <c r="AI38" s="53"/>
      <c r="AJ38" s="53"/>
      <c r="AK38" s="53"/>
      <c r="AL38" s="54"/>
    </row>
    <row r="39" spans="1:44" ht="15" x14ac:dyDescent="0.3">
      <c r="AH39" s="53"/>
      <c r="AI39" s="53"/>
      <c r="AJ39" s="53"/>
      <c r="AK39" s="53"/>
      <c r="AL39" s="54"/>
    </row>
  </sheetData>
  <autoFilter ref="M4:X39" xr:uid="{C9FB64BB-8D4B-4B23-A5E6-118520241A51}"/>
  <mergeCells count="8">
    <mergeCell ref="AQ1:AR1"/>
    <mergeCell ref="AM1:AP1"/>
    <mergeCell ref="G1:H1"/>
    <mergeCell ref="I1:J1"/>
    <mergeCell ref="K1:L1"/>
    <mergeCell ref="M1:Z1"/>
    <mergeCell ref="AA1:AD1"/>
    <mergeCell ref="AE1:AG1"/>
  </mergeCells>
  <hyperlinks>
    <hyperlink ref="H2" r:id="rId1" xr:uid="{33CFBA64-181C-4EF6-9658-B07122278B17}"/>
    <hyperlink ref="J2" r:id="rId2" xr:uid="{FC07CA7A-9AB0-42EC-A9FD-E75FDC4B8294}"/>
    <hyperlink ref="L2" r:id="rId3" xr:uid="{711A31E9-5C57-44F4-8E68-F5BF3D7FA076}"/>
  </hyperlinks>
  <pageMargins left="0.7" right="0.7" top="0.75" bottom="0.75" header="0.3" footer="0.3"/>
  <pageSetup paperSize="9"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36FC-6F22-4583-98F7-3D6633F11119}">
  <dimension ref="A1:J44"/>
  <sheetViews>
    <sheetView topLeftCell="A3" zoomScale="90" zoomScaleNormal="90" workbookViewId="0">
      <selection activeCell="H5" sqref="H5:J24"/>
    </sheetView>
  </sheetViews>
  <sheetFormatPr baseColWidth="10" defaultColWidth="11.5546875" defaultRowHeight="15" x14ac:dyDescent="0.3"/>
  <cols>
    <col min="1" max="1" width="11.5546875" style="185"/>
    <col min="2" max="2" width="12.33203125" style="2" customWidth="1"/>
    <col min="3" max="3" width="11.5546875" style="186"/>
    <col min="4" max="4" width="11.5546875" style="2"/>
    <col min="5" max="5" width="11.5546875" style="185"/>
    <col min="6" max="6" width="11.5546875" style="186"/>
    <col min="7" max="7" width="11.5546875" style="2"/>
    <col min="8" max="8" width="11.5546875" style="185"/>
    <col min="9" max="9" width="24" style="2" customWidth="1"/>
    <col min="10" max="10" width="28.5546875" style="186" customWidth="1"/>
    <col min="11" max="16384" width="11.5546875" style="2"/>
  </cols>
  <sheetData>
    <row r="1" spans="1:10" ht="15.6" x14ac:dyDescent="0.3">
      <c r="A1" s="443" t="s">
        <v>406</v>
      </c>
      <c r="B1" s="445"/>
      <c r="C1" s="444"/>
      <c r="E1" s="443" t="s">
        <v>405</v>
      </c>
      <c r="F1" s="444"/>
      <c r="H1" s="443" t="s">
        <v>404</v>
      </c>
      <c r="I1" s="445"/>
      <c r="J1" s="444"/>
    </row>
    <row r="2" spans="1:10" ht="30" x14ac:dyDescent="0.3">
      <c r="A2" s="191" t="s">
        <v>84</v>
      </c>
      <c r="B2" s="245" t="s">
        <v>85</v>
      </c>
      <c r="C2" s="54" t="s">
        <v>86</v>
      </c>
      <c r="D2" s="188" t="s">
        <v>87</v>
      </c>
      <c r="E2" s="244" t="s">
        <v>88</v>
      </c>
    </row>
    <row r="3" spans="1:10" s="240" customFormat="1" ht="62.4" x14ac:dyDescent="0.3">
      <c r="A3" s="208" t="s">
        <v>40</v>
      </c>
      <c r="B3" s="206" t="s">
        <v>403</v>
      </c>
      <c r="C3" s="207" t="s">
        <v>402</v>
      </c>
      <c r="D3" s="241"/>
      <c r="E3" s="243"/>
      <c r="F3" s="242"/>
      <c r="G3" s="241"/>
      <c r="H3" s="208" t="s">
        <v>40</v>
      </c>
      <c r="I3" s="206" t="s">
        <v>280</v>
      </c>
      <c r="J3" s="207" t="s">
        <v>401</v>
      </c>
    </row>
    <row r="4" spans="1:10" ht="31.2" x14ac:dyDescent="0.3">
      <c r="A4" s="234" t="s">
        <v>273</v>
      </c>
      <c r="B4" s="239" t="s">
        <v>218</v>
      </c>
      <c r="C4" s="239" t="s">
        <v>191</v>
      </c>
      <c r="E4" s="208" t="s">
        <v>400</v>
      </c>
      <c r="F4" s="202">
        <v>3000</v>
      </c>
      <c r="H4" s="238" t="s">
        <v>273</v>
      </c>
      <c r="I4" s="237" t="s">
        <v>228</v>
      </c>
      <c r="J4" s="236" t="s">
        <v>399</v>
      </c>
    </row>
    <row r="5" spans="1:10" ht="31.2" x14ac:dyDescent="0.4">
      <c r="A5" s="234" t="s">
        <v>11</v>
      </c>
      <c r="B5" s="233">
        <v>5.7272727272727275</v>
      </c>
      <c r="C5" s="232">
        <v>100</v>
      </c>
      <c r="E5" s="208" t="s">
        <v>398</v>
      </c>
      <c r="F5" s="202">
        <v>25</v>
      </c>
      <c r="H5" s="227" t="s">
        <v>11</v>
      </c>
      <c r="I5" s="144" t="s">
        <v>101</v>
      </c>
      <c r="J5" s="235">
        <v>92</v>
      </c>
    </row>
    <row r="6" spans="1:10" x14ac:dyDescent="0.3">
      <c r="A6" s="234" t="s">
        <v>12</v>
      </c>
      <c r="B6" s="233">
        <v>4.5882352941176467</v>
      </c>
      <c r="C6" s="232">
        <v>75</v>
      </c>
      <c r="H6" s="227" t="s">
        <v>11</v>
      </c>
      <c r="I6" s="144" t="s">
        <v>102</v>
      </c>
      <c r="J6" s="144">
        <v>2</v>
      </c>
    </row>
    <row r="7" spans="1:10" x14ac:dyDescent="0.3">
      <c r="A7" s="226" t="s">
        <v>271</v>
      </c>
      <c r="B7" s="231">
        <v>6.5333333333333332</v>
      </c>
      <c r="C7" s="226">
        <v>50</v>
      </c>
      <c r="H7" s="227" t="s">
        <v>11</v>
      </c>
      <c r="I7" s="144" t="s">
        <v>103</v>
      </c>
      <c r="J7" s="144">
        <v>0</v>
      </c>
    </row>
    <row r="8" spans="1:10" x14ac:dyDescent="0.3">
      <c r="A8" s="226" t="s">
        <v>270</v>
      </c>
      <c r="B8" s="231">
        <v>4.8181818181818183</v>
      </c>
      <c r="C8" s="226">
        <v>25</v>
      </c>
      <c r="H8" s="227" t="s">
        <v>11</v>
      </c>
      <c r="I8" s="144" t="s">
        <v>104</v>
      </c>
      <c r="J8" s="144">
        <v>0</v>
      </c>
    </row>
    <row r="9" spans="1:10" ht="15.6" x14ac:dyDescent="0.3">
      <c r="A9" s="230"/>
      <c r="B9" s="229"/>
      <c r="C9" s="228"/>
      <c r="H9" s="227" t="s">
        <v>11</v>
      </c>
      <c r="I9" s="144" t="s">
        <v>105</v>
      </c>
      <c r="J9" s="144">
        <v>34</v>
      </c>
    </row>
    <row r="10" spans="1:10" ht="15.6" x14ac:dyDescent="0.3">
      <c r="A10" s="230"/>
      <c r="B10" s="229"/>
      <c r="C10" s="228"/>
      <c r="H10" s="227" t="s">
        <v>12</v>
      </c>
      <c r="I10" s="144" t="s">
        <v>101</v>
      </c>
      <c r="J10" s="144">
        <v>100</v>
      </c>
    </row>
    <row r="11" spans="1:10" x14ac:dyDescent="0.3">
      <c r="H11" s="227" t="s">
        <v>12</v>
      </c>
      <c r="I11" s="144" t="s">
        <v>102</v>
      </c>
      <c r="J11" s="144">
        <v>3</v>
      </c>
    </row>
    <row r="12" spans="1:10" x14ac:dyDescent="0.3">
      <c r="H12" s="227" t="s">
        <v>12</v>
      </c>
      <c r="I12" s="144" t="s">
        <v>103</v>
      </c>
      <c r="J12" s="144">
        <v>0</v>
      </c>
    </row>
    <row r="13" spans="1:10" x14ac:dyDescent="0.3">
      <c r="H13" s="227" t="s">
        <v>12</v>
      </c>
      <c r="I13" s="144" t="s">
        <v>104</v>
      </c>
      <c r="J13" s="144">
        <v>2</v>
      </c>
    </row>
    <row r="14" spans="1:10" x14ac:dyDescent="0.3">
      <c r="H14" s="227" t="s">
        <v>12</v>
      </c>
      <c r="I14" s="144" t="s">
        <v>105</v>
      </c>
      <c r="J14" s="144">
        <v>32</v>
      </c>
    </row>
    <row r="15" spans="1:10" x14ac:dyDescent="0.3">
      <c r="H15" s="226" t="s">
        <v>271</v>
      </c>
      <c r="I15" s="144" t="s">
        <v>101</v>
      </c>
      <c r="J15" s="144">
        <v>138</v>
      </c>
    </row>
    <row r="16" spans="1:10" x14ac:dyDescent="0.3">
      <c r="H16" s="226" t="s">
        <v>271</v>
      </c>
      <c r="I16" s="144" t="s">
        <v>102</v>
      </c>
      <c r="J16" s="144">
        <v>15</v>
      </c>
    </row>
    <row r="17" spans="8:10" x14ac:dyDescent="0.3">
      <c r="H17" s="226" t="s">
        <v>271</v>
      </c>
      <c r="I17" s="144" t="s">
        <v>103</v>
      </c>
      <c r="J17" s="226">
        <v>8</v>
      </c>
    </row>
    <row r="18" spans="8:10" x14ac:dyDescent="0.3">
      <c r="H18" s="226" t="s">
        <v>271</v>
      </c>
      <c r="I18" s="144" t="s">
        <v>104</v>
      </c>
      <c r="J18" s="226">
        <v>8</v>
      </c>
    </row>
    <row r="19" spans="8:10" x14ac:dyDescent="0.3">
      <c r="H19" s="226" t="s">
        <v>271</v>
      </c>
      <c r="I19" s="144" t="s">
        <v>105</v>
      </c>
      <c r="J19" s="226">
        <v>0</v>
      </c>
    </row>
    <row r="20" spans="8:10" x14ac:dyDescent="0.3">
      <c r="H20" s="226" t="s">
        <v>270</v>
      </c>
      <c r="I20" s="144" t="s">
        <v>101</v>
      </c>
      <c r="J20" s="226">
        <v>120</v>
      </c>
    </row>
    <row r="21" spans="8:10" x14ac:dyDescent="0.3">
      <c r="H21" s="226" t="s">
        <v>270</v>
      </c>
      <c r="I21" s="144" t="s">
        <v>102</v>
      </c>
      <c r="J21" s="226">
        <v>8</v>
      </c>
    </row>
    <row r="22" spans="8:10" x14ac:dyDescent="0.3">
      <c r="H22" s="226" t="s">
        <v>270</v>
      </c>
      <c r="I22" s="144" t="s">
        <v>103</v>
      </c>
      <c r="J22" s="226">
        <v>1</v>
      </c>
    </row>
    <row r="23" spans="8:10" x14ac:dyDescent="0.3">
      <c r="H23" s="226" t="s">
        <v>270</v>
      </c>
      <c r="I23" s="144" t="s">
        <v>104</v>
      </c>
      <c r="J23" s="226">
        <v>0</v>
      </c>
    </row>
    <row r="24" spans="8:10" x14ac:dyDescent="0.3">
      <c r="H24" s="226" t="s">
        <v>270</v>
      </c>
      <c r="I24" s="144" t="s">
        <v>105</v>
      </c>
      <c r="J24" s="226">
        <v>0</v>
      </c>
    </row>
    <row r="25" spans="8:10" x14ac:dyDescent="0.3">
      <c r="H25" s="224"/>
      <c r="I25" s="53"/>
      <c r="J25" s="225"/>
    </row>
    <row r="26" spans="8:10" x14ac:dyDescent="0.3">
      <c r="H26" s="224"/>
      <c r="I26" s="53"/>
      <c r="J26" s="202"/>
    </row>
    <row r="27" spans="8:10" x14ac:dyDescent="0.3">
      <c r="H27" s="224"/>
      <c r="I27" s="53"/>
      <c r="J27" s="202"/>
    </row>
    <row r="28" spans="8:10" x14ac:dyDescent="0.3">
      <c r="H28" s="224"/>
      <c r="I28" s="53"/>
      <c r="J28" s="202"/>
    </row>
    <row r="29" spans="8:10" x14ac:dyDescent="0.3">
      <c r="H29" s="224"/>
      <c r="I29" s="53"/>
      <c r="J29" s="202"/>
    </row>
    <row r="30" spans="8:10" x14ac:dyDescent="0.3">
      <c r="H30" s="224"/>
      <c r="I30" s="53"/>
      <c r="J30" s="202"/>
    </row>
    <row r="31" spans="8:10" x14ac:dyDescent="0.3">
      <c r="H31" s="224"/>
      <c r="I31" s="53"/>
      <c r="J31" s="202"/>
    </row>
    <row r="32" spans="8:10" x14ac:dyDescent="0.3">
      <c r="H32" s="224"/>
      <c r="I32" s="53"/>
      <c r="J32" s="225"/>
    </row>
    <row r="33" spans="8:10" x14ac:dyDescent="0.3">
      <c r="H33" s="224"/>
      <c r="I33" s="53"/>
      <c r="J33" s="202"/>
    </row>
    <row r="34" spans="8:10" x14ac:dyDescent="0.3">
      <c r="H34" s="224"/>
      <c r="I34" s="53"/>
      <c r="J34" s="202"/>
    </row>
    <row r="35" spans="8:10" x14ac:dyDescent="0.3">
      <c r="H35" s="224"/>
      <c r="I35" s="53"/>
      <c r="J35" s="202"/>
    </row>
    <row r="36" spans="8:10" x14ac:dyDescent="0.3">
      <c r="H36" s="224"/>
      <c r="I36" s="53"/>
      <c r="J36" s="202"/>
    </row>
    <row r="37" spans="8:10" x14ac:dyDescent="0.3">
      <c r="H37" s="224"/>
      <c r="I37" s="53"/>
      <c r="J37" s="202"/>
    </row>
    <row r="38" spans="8:10" x14ac:dyDescent="0.3">
      <c r="H38" s="224"/>
      <c r="I38" s="53"/>
      <c r="J38" s="202"/>
    </row>
    <row r="39" spans="8:10" x14ac:dyDescent="0.3">
      <c r="H39" s="224"/>
      <c r="I39" s="53"/>
      <c r="J39" s="225"/>
    </row>
    <row r="40" spans="8:10" x14ac:dyDescent="0.3">
      <c r="H40" s="224"/>
      <c r="I40" s="53"/>
      <c r="J40" s="202"/>
    </row>
    <row r="41" spans="8:10" x14ac:dyDescent="0.3">
      <c r="H41" s="224"/>
      <c r="I41" s="53"/>
      <c r="J41" s="202"/>
    </row>
    <row r="42" spans="8:10" x14ac:dyDescent="0.3">
      <c r="H42" s="224"/>
      <c r="I42" s="53"/>
      <c r="J42" s="202"/>
    </row>
    <row r="43" spans="8:10" x14ac:dyDescent="0.3">
      <c r="H43" s="224"/>
      <c r="I43" s="53"/>
      <c r="J43" s="202"/>
    </row>
    <row r="44" spans="8:10" x14ac:dyDescent="0.3">
      <c r="H44" s="224"/>
      <c r="I44" s="53"/>
      <c r="J44" s="202"/>
    </row>
  </sheetData>
  <mergeCells count="3">
    <mergeCell ref="A1:C1"/>
    <mergeCell ref="H1:J1"/>
    <mergeCell ref="E1:F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4CAD-A8DA-48AA-BFB4-C0D588DF0295}">
  <dimension ref="A1:H10"/>
  <sheetViews>
    <sheetView zoomScale="70" zoomScaleNormal="70" workbookViewId="0">
      <selection activeCell="D5" sqref="D5:H8"/>
    </sheetView>
  </sheetViews>
  <sheetFormatPr baseColWidth="10" defaultColWidth="11.5546875" defaultRowHeight="13.8" x14ac:dyDescent="0.25"/>
  <cols>
    <col min="1" max="1" width="11.5546875" style="12"/>
    <col min="2" max="2" width="11.5546875" style="147"/>
    <col min="3" max="3" width="11.5546875" style="145"/>
    <col min="4" max="4" width="11.5546875" style="12"/>
    <col min="5" max="5" width="19.88671875" style="145" customWidth="1"/>
    <col min="6" max="6" width="21.44140625" style="145" customWidth="1"/>
    <col min="7" max="7" width="23" style="145" customWidth="1"/>
    <col min="8" max="8" width="23.109375" style="147" customWidth="1"/>
    <col min="9" max="16384" width="11.5546875" style="145"/>
  </cols>
  <sheetData>
    <row r="1" spans="1:8" x14ac:dyDescent="0.25">
      <c r="A1" s="449" t="s">
        <v>417</v>
      </c>
      <c r="B1" s="450"/>
      <c r="D1" s="449" t="s">
        <v>416</v>
      </c>
      <c r="E1" s="451"/>
      <c r="F1" s="451"/>
      <c r="G1" s="451"/>
      <c r="H1" s="450"/>
    </row>
    <row r="2" spans="1:8" ht="31.2" x14ac:dyDescent="0.25">
      <c r="A2" s="42" t="s">
        <v>84</v>
      </c>
      <c r="B2" s="253" t="s">
        <v>85</v>
      </c>
      <c r="C2" s="252" t="s">
        <v>86</v>
      </c>
      <c r="D2" s="251" t="s">
        <v>87</v>
      </c>
      <c r="E2" s="250" t="s">
        <v>88</v>
      </c>
    </row>
    <row r="3" spans="1:8" s="247" customFormat="1" ht="43.65" customHeight="1" x14ac:dyDescent="0.3">
      <c r="A3" s="24" t="s">
        <v>3</v>
      </c>
      <c r="B3" s="49" t="s">
        <v>415</v>
      </c>
      <c r="D3" s="24" t="s">
        <v>40</v>
      </c>
      <c r="E3" s="130" t="s">
        <v>414</v>
      </c>
      <c r="F3" s="130" t="s">
        <v>413</v>
      </c>
      <c r="G3" s="130" t="s">
        <v>412</v>
      </c>
      <c r="H3" s="49" t="s">
        <v>411</v>
      </c>
    </row>
    <row r="4" spans="1:8" s="1" customFormat="1" ht="27.6" x14ac:dyDescent="0.3">
      <c r="A4" s="1" t="s">
        <v>94</v>
      </c>
      <c r="B4" s="1">
        <v>0.5</v>
      </c>
      <c r="D4" s="24" t="s">
        <v>273</v>
      </c>
      <c r="E4" s="130" t="s">
        <v>410</v>
      </c>
      <c r="F4" s="130" t="s">
        <v>409</v>
      </c>
      <c r="G4" s="130" t="s">
        <v>408</v>
      </c>
      <c r="H4" s="49" t="s">
        <v>407</v>
      </c>
    </row>
    <row r="5" spans="1:8" s="1" customFormat="1" x14ac:dyDescent="0.3">
      <c r="A5" s="1" t="s">
        <v>95</v>
      </c>
      <c r="B5" s="1">
        <v>0.5</v>
      </c>
      <c r="D5" s="247" t="s">
        <v>11</v>
      </c>
      <c r="E5" s="249">
        <v>207.90951936139709</v>
      </c>
      <c r="F5" s="247" t="s">
        <v>111</v>
      </c>
      <c r="G5" s="247" t="s">
        <v>111</v>
      </c>
      <c r="H5" s="247" t="s">
        <v>111</v>
      </c>
    </row>
    <row r="6" spans="1:8" s="1" customFormat="1" x14ac:dyDescent="0.3">
      <c r="A6" s="1" t="s">
        <v>96</v>
      </c>
      <c r="B6" s="1">
        <v>0.5</v>
      </c>
      <c r="D6" s="247" t="s">
        <v>12</v>
      </c>
      <c r="E6" s="249">
        <v>489.12405043099943</v>
      </c>
      <c r="F6" s="247" t="s">
        <v>111</v>
      </c>
      <c r="G6" s="247" t="s">
        <v>111</v>
      </c>
      <c r="H6" s="247" t="s">
        <v>111</v>
      </c>
    </row>
    <row r="7" spans="1:8" s="1" customFormat="1" x14ac:dyDescent="0.3">
      <c r="A7" s="1" t="s">
        <v>97</v>
      </c>
      <c r="B7" s="1">
        <v>0.5</v>
      </c>
      <c r="D7" s="1" t="s">
        <v>271</v>
      </c>
      <c r="E7" s="248">
        <v>133.15898803121664</v>
      </c>
      <c r="F7" s="247" t="s">
        <v>111</v>
      </c>
      <c r="G7" s="247" t="s">
        <v>111</v>
      </c>
      <c r="H7" s="247" t="s">
        <v>111</v>
      </c>
    </row>
    <row r="8" spans="1:8" s="1" customFormat="1" x14ac:dyDescent="0.3">
      <c r="A8" s="1" t="s">
        <v>98</v>
      </c>
      <c r="B8" s="1">
        <v>0.3</v>
      </c>
      <c r="D8" s="1" t="s">
        <v>270</v>
      </c>
      <c r="E8" s="248">
        <v>161.20572161995017</v>
      </c>
      <c r="F8" s="247" t="s">
        <v>111</v>
      </c>
      <c r="G8" s="247" t="s">
        <v>111</v>
      </c>
      <c r="H8" s="247" t="s">
        <v>111</v>
      </c>
    </row>
    <row r="9" spans="1:8" s="1" customFormat="1" x14ac:dyDescent="0.3">
      <c r="A9" s="25"/>
      <c r="B9" s="246"/>
    </row>
    <row r="10" spans="1:8" s="1" customFormat="1" x14ac:dyDescent="0.3">
      <c r="A10" s="25"/>
      <c r="B10" s="246"/>
      <c r="D10" s="140"/>
      <c r="H10" s="117"/>
    </row>
  </sheetData>
  <mergeCells count="2">
    <mergeCell ref="A1:B1"/>
    <mergeCell ref="D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8373-8576-485D-A6EC-DD7B167A041B}">
  <dimension ref="A1:AI52"/>
  <sheetViews>
    <sheetView topLeftCell="L1" zoomScale="85" zoomScaleNormal="85" workbookViewId="0">
      <selection activeCell="P5" sqref="P5:P16"/>
    </sheetView>
  </sheetViews>
  <sheetFormatPr baseColWidth="10" defaultRowHeight="14.4" x14ac:dyDescent="0.3"/>
  <cols>
    <col min="1" max="1" width="11.5546875" style="6"/>
    <col min="2" max="2" width="13.77734375" style="144" customWidth="1"/>
    <col min="3" max="10" width="11.5546875" style="144"/>
    <col min="11" max="11" width="18.5546875" style="144" customWidth="1"/>
    <col min="12" max="12" width="21.6640625" style="144" customWidth="1"/>
    <col min="13" max="13" width="11.5546875" style="144"/>
    <col min="14" max="14" width="11.5546875" style="8"/>
    <col min="15" max="24" width="11.5546875" style="144"/>
    <col min="25" max="25" width="11.5546875" style="8"/>
    <col min="26" max="29" width="11.5546875" style="144"/>
    <col min="30" max="30" width="11.5546875" style="6"/>
    <col min="31" max="31" width="17.109375" style="144" customWidth="1"/>
    <col min="32" max="32" width="29.77734375" style="8" customWidth="1"/>
    <col min="33" max="33" width="11.5546875" style="6"/>
    <col min="34" max="34" width="18.109375" style="144" customWidth="1"/>
    <col min="35" max="35" width="16.44140625" style="8" customWidth="1"/>
    <col min="36" max="16384" width="11.5546875" style="144"/>
  </cols>
  <sheetData>
    <row r="1" spans="1:35" ht="21" x14ac:dyDescent="0.4">
      <c r="A1" s="452" t="s">
        <v>464</v>
      </c>
      <c r="B1" s="453"/>
      <c r="C1" s="453"/>
      <c r="D1" s="453"/>
      <c r="E1" s="453"/>
      <c r="F1" s="453"/>
      <c r="G1" s="453"/>
      <c r="H1" s="453"/>
      <c r="I1" s="453"/>
      <c r="J1" s="453"/>
      <c r="K1" s="453" t="s">
        <v>462</v>
      </c>
      <c r="L1" s="453"/>
      <c r="M1" s="453"/>
      <c r="N1" s="456"/>
      <c r="O1" s="452" t="s">
        <v>463</v>
      </c>
      <c r="P1" s="453"/>
      <c r="Q1" s="453"/>
      <c r="R1" s="453"/>
      <c r="S1" s="453"/>
      <c r="T1" s="453"/>
      <c r="U1" s="453"/>
      <c r="V1" s="453"/>
      <c r="W1" s="453"/>
      <c r="X1" s="453"/>
      <c r="Y1" s="456"/>
      <c r="Z1" s="453" t="s">
        <v>462</v>
      </c>
      <c r="AA1" s="453"/>
      <c r="AB1" s="453"/>
      <c r="AC1" s="456"/>
      <c r="AD1" s="443" t="s">
        <v>387</v>
      </c>
      <c r="AE1" s="445"/>
      <c r="AF1" s="444"/>
      <c r="AG1" s="443" t="s">
        <v>461</v>
      </c>
      <c r="AH1" s="445"/>
      <c r="AI1" s="444"/>
    </row>
    <row r="2" spans="1:35" ht="15.6" x14ac:dyDescent="0.3">
      <c r="A2" s="454" t="s">
        <v>460</v>
      </c>
      <c r="B2" s="455"/>
      <c r="C2" s="455"/>
      <c r="D2" s="455"/>
      <c r="E2" s="455"/>
      <c r="F2" s="455"/>
      <c r="G2" s="455"/>
      <c r="H2" s="455"/>
      <c r="I2" s="455"/>
      <c r="J2" s="455"/>
      <c r="AC2" s="8"/>
      <c r="AD2" s="185"/>
      <c r="AE2" s="2"/>
      <c r="AF2" s="186"/>
      <c r="AG2" s="185"/>
      <c r="AH2" s="2"/>
      <c r="AI2" s="186"/>
    </row>
    <row r="3" spans="1:35" ht="46.8" x14ac:dyDescent="0.3">
      <c r="A3" s="267" t="s">
        <v>273</v>
      </c>
      <c r="B3" s="261" t="s">
        <v>15</v>
      </c>
      <c r="C3" s="261" t="s">
        <v>459</v>
      </c>
      <c r="D3" s="261" t="s">
        <v>458</v>
      </c>
      <c r="E3" s="261" t="s">
        <v>457</v>
      </c>
      <c r="F3" s="261" t="s">
        <v>456</v>
      </c>
      <c r="G3" s="261" t="s">
        <v>455</v>
      </c>
      <c r="H3" s="264" t="s">
        <v>454</v>
      </c>
      <c r="I3" s="264" t="s">
        <v>453</v>
      </c>
      <c r="J3" s="264" t="s">
        <v>452</v>
      </c>
      <c r="K3" s="264" t="s">
        <v>440</v>
      </c>
      <c r="L3" s="264" t="s">
        <v>640</v>
      </c>
      <c r="M3" s="264" t="s">
        <v>451</v>
      </c>
      <c r="N3" s="266" t="s">
        <v>641</v>
      </c>
      <c r="O3" s="264" t="s">
        <v>40</v>
      </c>
      <c r="P3" s="264" t="s">
        <v>450</v>
      </c>
      <c r="Q3" s="264" t="s">
        <v>449</v>
      </c>
      <c r="R3" s="264" t="s">
        <v>448</v>
      </c>
      <c r="S3" s="264" t="s">
        <v>447</v>
      </c>
      <c r="T3" s="264" t="s">
        <v>446</v>
      </c>
      <c r="U3" s="264" t="s">
        <v>445</v>
      </c>
      <c r="V3" s="264" t="s">
        <v>444</v>
      </c>
      <c r="W3" s="264" t="s">
        <v>443</v>
      </c>
      <c r="X3" s="264" t="s">
        <v>442</v>
      </c>
      <c r="Y3" s="264" t="s">
        <v>441</v>
      </c>
      <c r="Z3" s="264" t="s">
        <v>440</v>
      </c>
      <c r="AA3" s="264" t="s">
        <v>439</v>
      </c>
      <c r="AB3" s="264" t="s">
        <v>438</v>
      </c>
      <c r="AC3" s="266" t="s">
        <v>437</v>
      </c>
      <c r="AD3" s="208" t="s">
        <v>40</v>
      </c>
      <c r="AE3" s="206" t="s">
        <v>353</v>
      </c>
      <c r="AF3" s="207" t="s">
        <v>436</v>
      </c>
      <c r="AG3" s="208" t="s">
        <v>40</v>
      </c>
      <c r="AH3" s="206" t="s">
        <v>352</v>
      </c>
      <c r="AI3" s="207" t="s">
        <v>360</v>
      </c>
    </row>
    <row r="4" spans="1:35" ht="31.2" x14ac:dyDescent="0.3">
      <c r="A4" s="265" t="s">
        <v>273</v>
      </c>
      <c r="B4" s="264" t="s">
        <v>15</v>
      </c>
      <c r="C4" s="264" t="s">
        <v>432</v>
      </c>
      <c r="D4" s="261" t="s">
        <v>431</v>
      </c>
      <c r="E4" s="261" t="s">
        <v>430</v>
      </c>
      <c r="F4" s="261" t="s">
        <v>435</v>
      </c>
      <c r="G4" s="261" t="s">
        <v>429</v>
      </c>
      <c r="H4" s="261" t="s">
        <v>428</v>
      </c>
      <c r="I4" s="261" t="s">
        <v>427</v>
      </c>
      <c r="J4" s="261" t="s">
        <v>426</v>
      </c>
      <c r="K4" s="261" t="s">
        <v>423</v>
      </c>
      <c r="L4" s="261" t="s">
        <v>422</v>
      </c>
      <c r="M4" s="261" t="s">
        <v>434</v>
      </c>
      <c r="N4" s="260" t="s">
        <v>420</v>
      </c>
      <c r="O4" s="130" t="s">
        <v>273</v>
      </c>
      <c r="P4" s="127" t="s">
        <v>433</v>
      </c>
      <c r="Q4" s="130" t="s">
        <v>432</v>
      </c>
      <c r="R4" s="261" t="s">
        <v>431</v>
      </c>
      <c r="S4" s="261" t="s">
        <v>430</v>
      </c>
      <c r="T4" s="263" t="s">
        <v>429</v>
      </c>
      <c r="U4" s="263" t="s">
        <v>428</v>
      </c>
      <c r="V4" s="263" t="s">
        <v>427</v>
      </c>
      <c r="W4" s="263" t="s">
        <v>426</v>
      </c>
      <c r="X4" s="263" t="s">
        <v>425</v>
      </c>
      <c r="Y4" s="262" t="s">
        <v>424</v>
      </c>
      <c r="Z4" s="261" t="s">
        <v>423</v>
      </c>
      <c r="AA4" s="261" t="s">
        <v>422</v>
      </c>
      <c r="AB4" s="261" t="s">
        <v>421</v>
      </c>
      <c r="AC4" s="260" t="s">
        <v>420</v>
      </c>
      <c r="AD4" s="172" t="s">
        <v>273</v>
      </c>
      <c r="AE4" s="168" t="s">
        <v>342</v>
      </c>
      <c r="AF4" s="171" t="s">
        <v>419</v>
      </c>
      <c r="AG4" s="172" t="s">
        <v>273</v>
      </c>
      <c r="AH4" s="168" t="s">
        <v>69</v>
      </c>
      <c r="AI4" s="171" t="s">
        <v>418</v>
      </c>
    </row>
    <row r="5" spans="1:35" ht="15.6" x14ac:dyDescent="0.3">
      <c r="A5" s="257" t="s">
        <v>11</v>
      </c>
      <c r="B5" s="57" t="s">
        <v>94</v>
      </c>
      <c r="C5" s="256" t="s">
        <v>221</v>
      </c>
      <c r="D5" s="255">
        <v>8201.8461538461524</v>
      </c>
      <c r="E5" s="255">
        <v>11391.45299145299</v>
      </c>
      <c r="F5" s="255">
        <v>0</v>
      </c>
      <c r="G5" s="255">
        <v>6834.871794871794</v>
      </c>
      <c r="H5" s="255">
        <v>4556.5811965811972</v>
      </c>
      <c r="I5" s="255">
        <v>5467.8974358974356</v>
      </c>
      <c r="J5" s="255">
        <v>13669.743589743588</v>
      </c>
      <c r="K5" s="397">
        <v>66.14</v>
      </c>
      <c r="L5" s="397">
        <v>29.5</v>
      </c>
      <c r="M5" s="397">
        <v>25</v>
      </c>
      <c r="N5" s="398">
        <f>6579/1800</f>
        <v>3.6549999999999998</v>
      </c>
      <c r="O5" s="259" t="s">
        <v>11</v>
      </c>
      <c r="P5" s="57" t="s">
        <v>98</v>
      </c>
      <c r="Q5" s="259" t="s">
        <v>221</v>
      </c>
      <c r="R5" s="258">
        <v>25715.199999999997</v>
      </c>
      <c r="S5" s="258">
        <v>16319.743999999999</v>
      </c>
      <c r="T5" s="258">
        <v>12742.195199999998</v>
      </c>
      <c r="U5" s="258">
        <v>30130.687999999998</v>
      </c>
      <c r="V5" s="258">
        <v>12554.035199999998</v>
      </c>
      <c r="W5" s="258">
        <v>31385.087999999996</v>
      </c>
      <c r="X5" s="400" t="s">
        <v>111</v>
      </c>
      <c r="Y5" s="401" t="s">
        <v>111</v>
      </c>
      <c r="Z5" s="255">
        <v>66.14</v>
      </c>
      <c r="AA5" s="255">
        <v>29.5</v>
      </c>
      <c r="AB5" s="396">
        <v>8</v>
      </c>
      <c r="AC5" s="398">
        <f>6579/1800</f>
        <v>3.6549999999999998</v>
      </c>
      <c r="AD5" s="191" t="s">
        <v>11</v>
      </c>
      <c r="AE5" s="53" t="s">
        <v>64</v>
      </c>
      <c r="AF5" s="202" t="s">
        <v>111</v>
      </c>
      <c r="AG5" s="191" t="s">
        <v>11</v>
      </c>
      <c r="AH5" s="53" t="s">
        <v>71</v>
      </c>
      <c r="AI5" s="54" t="s">
        <v>111</v>
      </c>
    </row>
    <row r="6" spans="1:35" ht="15.6" x14ac:dyDescent="0.3">
      <c r="A6" s="257" t="s">
        <v>11</v>
      </c>
      <c r="B6" s="57" t="s">
        <v>94</v>
      </c>
      <c r="C6" s="256" t="s">
        <v>212</v>
      </c>
      <c r="D6" s="255">
        <v>8201.8461538461524</v>
      </c>
      <c r="E6" s="255">
        <v>11391.45299145299</v>
      </c>
      <c r="F6" s="255">
        <v>0</v>
      </c>
      <c r="G6" s="255">
        <v>6834.871794871794</v>
      </c>
      <c r="H6" s="255">
        <v>4556.5811965811972</v>
      </c>
      <c r="I6" s="255">
        <v>5467.8974358974356</v>
      </c>
      <c r="J6" s="255">
        <v>13669.743589743588</v>
      </c>
      <c r="K6" s="397">
        <v>66.14</v>
      </c>
      <c r="L6" s="397">
        <v>29.5</v>
      </c>
      <c r="M6" s="397">
        <v>25</v>
      </c>
      <c r="N6" s="398">
        <f t="shared" ref="N6:N52" si="0">6579/1800</f>
        <v>3.6549999999999998</v>
      </c>
      <c r="O6" s="259" t="s">
        <v>11</v>
      </c>
      <c r="P6" s="57" t="s">
        <v>98</v>
      </c>
      <c r="Q6" s="259" t="s">
        <v>212</v>
      </c>
      <c r="R6" s="258">
        <v>25715.199999999997</v>
      </c>
      <c r="S6" s="258">
        <v>16319.743999999999</v>
      </c>
      <c r="T6" s="258">
        <v>12742.195199999998</v>
      </c>
      <c r="U6" s="258">
        <v>30130.687999999998</v>
      </c>
      <c r="V6" s="258">
        <v>12554.035199999998</v>
      </c>
      <c r="W6" s="258">
        <v>31385.087999999996</v>
      </c>
      <c r="X6" s="400" t="s">
        <v>111</v>
      </c>
      <c r="Y6" s="401" t="s">
        <v>111</v>
      </c>
      <c r="Z6" s="255">
        <v>66.14</v>
      </c>
      <c r="AA6" s="255">
        <v>29.5</v>
      </c>
      <c r="AB6" s="396">
        <v>8</v>
      </c>
      <c r="AC6" s="398">
        <f t="shared" ref="AC6:AC16" si="1">6579/1800</f>
        <v>3.6549999999999998</v>
      </c>
      <c r="AD6" s="191" t="s">
        <v>11</v>
      </c>
      <c r="AE6" s="53" t="s">
        <v>65</v>
      </c>
      <c r="AF6" s="202" t="s">
        <v>111</v>
      </c>
      <c r="AG6" s="191" t="s">
        <v>11</v>
      </c>
      <c r="AH6" s="53" t="s">
        <v>72</v>
      </c>
      <c r="AI6" s="54" t="s">
        <v>111</v>
      </c>
    </row>
    <row r="7" spans="1:35" ht="15.6" x14ac:dyDescent="0.3">
      <c r="A7" s="257" t="s">
        <v>11</v>
      </c>
      <c r="B7" s="57" t="s">
        <v>94</v>
      </c>
      <c r="C7" s="256" t="s">
        <v>203</v>
      </c>
      <c r="D7" s="255">
        <v>8201.8461538461524</v>
      </c>
      <c r="E7" s="255">
        <v>11391.45299145299</v>
      </c>
      <c r="F7" s="255">
        <v>0</v>
      </c>
      <c r="G7" s="255">
        <v>6834.871794871794</v>
      </c>
      <c r="H7" s="255">
        <v>4556.5811965811972</v>
      </c>
      <c r="I7" s="255">
        <v>5467.8974358974356</v>
      </c>
      <c r="J7" s="255">
        <v>13669.743589743588</v>
      </c>
      <c r="K7" s="397">
        <v>66.14</v>
      </c>
      <c r="L7" s="397">
        <v>29.5</v>
      </c>
      <c r="M7" s="397">
        <v>25</v>
      </c>
      <c r="N7" s="398">
        <f t="shared" si="0"/>
        <v>3.6549999999999998</v>
      </c>
      <c r="O7" s="259" t="s">
        <v>11</v>
      </c>
      <c r="P7" s="57" t="s">
        <v>98</v>
      </c>
      <c r="Q7" s="259" t="s">
        <v>203</v>
      </c>
      <c r="R7" s="258">
        <v>25715.199999999997</v>
      </c>
      <c r="S7" s="258">
        <v>16319.743999999999</v>
      </c>
      <c r="T7" s="258">
        <v>12742.195199999998</v>
      </c>
      <c r="U7" s="258">
        <v>30130.687999999998</v>
      </c>
      <c r="V7" s="258">
        <v>12554.035199999998</v>
      </c>
      <c r="W7" s="258">
        <v>31385.087999999996</v>
      </c>
      <c r="X7" s="400" t="s">
        <v>111</v>
      </c>
      <c r="Y7" s="401" t="s">
        <v>111</v>
      </c>
      <c r="Z7" s="255">
        <v>66.14</v>
      </c>
      <c r="AA7" s="255">
        <v>29.5</v>
      </c>
      <c r="AB7" s="396">
        <v>8</v>
      </c>
      <c r="AC7" s="398">
        <f t="shared" si="1"/>
        <v>3.6549999999999998</v>
      </c>
      <c r="AD7" s="191" t="s">
        <v>11</v>
      </c>
      <c r="AE7" s="53" t="s">
        <v>66</v>
      </c>
      <c r="AF7" s="202" t="s">
        <v>111</v>
      </c>
      <c r="AG7" s="191" t="s">
        <v>11</v>
      </c>
      <c r="AH7" s="53" t="s">
        <v>73</v>
      </c>
      <c r="AI7" s="54" t="s">
        <v>111</v>
      </c>
    </row>
    <row r="8" spans="1:35" ht="15.6" x14ac:dyDescent="0.3">
      <c r="A8" s="257" t="s">
        <v>11</v>
      </c>
      <c r="B8" s="57" t="s">
        <v>95</v>
      </c>
      <c r="C8" s="256" t="s">
        <v>221</v>
      </c>
      <c r="D8" s="255">
        <v>10614.153846153846</v>
      </c>
      <c r="E8" s="255">
        <v>14741.88034188034</v>
      </c>
      <c r="F8" s="255">
        <v>804.10256410256397</v>
      </c>
      <c r="G8" s="255">
        <v>8845.1282051282051</v>
      </c>
      <c r="H8" s="255">
        <v>5896.7521367521358</v>
      </c>
      <c r="I8" s="255">
        <v>7076.1025641025635</v>
      </c>
      <c r="J8" s="255">
        <v>17690.25641025641</v>
      </c>
      <c r="K8" s="397">
        <v>66.14</v>
      </c>
      <c r="L8" s="397">
        <v>29.5</v>
      </c>
      <c r="M8" s="397">
        <v>25</v>
      </c>
      <c r="N8" s="398">
        <f t="shared" si="0"/>
        <v>3.6549999999999998</v>
      </c>
      <c r="O8" s="259" t="s">
        <v>12</v>
      </c>
      <c r="P8" s="57" t="s">
        <v>98</v>
      </c>
      <c r="Q8" s="259" t="s">
        <v>221</v>
      </c>
      <c r="R8" s="258">
        <v>25715.199999999997</v>
      </c>
      <c r="S8" s="258">
        <v>16319.743999999999</v>
      </c>
      <c r="T8" s="258">
        <v>12742.195199999998</v>
      </c>
      <c r="U8" s="258">
        <v>30130.687999999998</v>
      </c>
      <c r="V8" s="258">
        <v>12554.035199999998</v>
      </c>
      <c r="W8" s="258">
        <v>31385.087999999996</v>
      </c>
      <c r="X8" s="400" t="s">
        <v>111</v>
      </c>
      <c r="Y8" s="401" t="s">
        <v>111</v>
      </c>
      <c r="Z8" s="255">
        <v>66.14</v>
      </c>
      <c r="AA8" s="255">
        <v>29.5</v>
      </c>
      <c r="AB8" s="396">
        <v>8</v>
      </c>
      <c r="AC8" s="398">
        <f t="shared" si="1"/>
        <v>3.6549999999999998</v>
      </c>
      <c r="AD8" s="191" t="s">
        <v>11</v>
      </c>
      <c r="AE8" s="53" t="s">
        <v>67</v>
      </c>
      <c r="AF8" s="202" t="s">
        <v>111</v>
      </c>
      <c r="AG8" s="191" t="s">
        <v>11</v>
      </c>
      <c r="AH8" s="53" t="s">
        <v>74</v>
      </c>
      <c r="AI8" s="54" t="s">
        <v>111</v>
      </c>
    </row>
    <row r="9" spans="1:35" ht="15.6" x14ac:dyDescent="0.3">
      <c r="A9" s="257" t="s">
        <v>11</v>
      </c>
      <c r="B9" s="57" t="s">
        <v>95</v>
      </c>
      <c r="C9" s="256" t="s">
        <v>212</v>
      </c>
      <c r="D9" s="255">
        <v>10614.153846153846</v>
      </c>
      <c r="E9" s="255">
        <v>14741.88034188034</v>
      </c>
      <c r="F9" s="255">
        <v>804.10256410256397</v>
      </c>
      <c r="G9" s="255">
        <v>8845.1282051282051</v>
      </c>
      <c r="H9" s="255">
        <v>5896.7521367521358</v>
      </c>
      <c r="I9" s="255">
        <v>7076.1025641025635</v>
      </c>
      <c r="J9" s="255">
        <v>17690.25641025641</v>
      </c>
      <c r="K9" s="397">
        <v>66.14</v>
      </c>
      <c r="L9" s="397">
        <v>29.5</v>
      </c>
      <c r="M9" s="397">
        <v>25</v>
      </c>
      <c r="N9" s="398">
        <f t="shared" si="0"/>
        <v>3.6549999999999998</v>
      </c>
      <c r="O9" s="259" t="s">
        <v>12</v>
      </c>
      <c r="P9" s="57" t="s">
        <v>98</v>
      </c>
      <c r="Q9" s="259" t="s">
        <v>212</v>
      </c>
      <c r="R9" s="258">
        <v>25715.199999999997</v>
      </c>
      <c r="S9" s="258">
        <v>16319.743999999999</v>
      </c>
      <c r="T9" s="258">
        <v>12742.195199999998</v>
      </c>
      <c r="U9" s="258">
        <v>30130.687999999998</v>
      </c>
      <c r="V9" s="258">
        <v>12554.035199999998</v>
      </c>
      <c r="W9" s="258">
        <v>31385.087999999996</v>
      </c>
      <c r="X9" s="400" t="s">
        <v>111</v>
      </c>
      <c r="Y9" s="401" t="s">
        <v>111</v>
      </c>
      <c r="Z9" s="255">
        <v>66.14</v>
      </c>
      <c r="AA9" s="255">
        <v>29.5</v>
      </c>
      <c r="AB9" s="396">
        <v>8</v>
      </c>
      <c r="AC9" s="398">
        <f t="shared" si="1"/>
        <v>3.6549999999999998</v>
      </c>
      <c r="AD9" s="191" t="s">
        <v>11</v>
      </c>
      <c r="AE9" s="53" t="s">
        <v>63</v>
      </c>
      <c r="AF9" s="202" t="s">
        <v>111</v>
      </c>
      <c r="AG9" s="185"/>
      <c r="AH9" s="2"/>
      <c r="AI9" s="186"/>
    </row>
    <row r="10" spans="1:35" ht="15.6" x14ac:dyDescent="0.3">
      <c r="A10" s="257" t="s">
        <v>11</v>
      </c>
      <c r="B10" s="57" t="s">
        <v>95</v>
      </c>
      <c r="C10" s="256" t="s">
        <v>203</v>
      </c>
      <c r="D10" s="255">
        <v>10614.153846153846</v>
      </c>
      <c r="E10" s="255">
        <v>14741.88034188034</v>
      </c>
      <c r="F10" s="255">
        <v>804.10256410256397</v>
      </c>
      <c r="G10" s="255">
        <v>8845.1282051282051</v>
      </c>
      <c r="H10" s="255">
        <v>5896.7521367521358</v>
      </c>
      <c r="I10" s="255">
        <v>7076.1025641025635</v>
      </c>
      <c r="J10" s="255">
        <v>17690.25641025641</v>
      </c>
      <c r="K10" s="397">
        <v>66.14</v>
      </c>
      <c r="L10" s="397">
        <v>29.5</v>
      </c>
      <c r="M10" s="397">
        <v>25</v>
      </c>
      <c r="N10" s="398">
        <f t="shared" si="0"/>
        <v>3.6549999999999998</v>
      </c>
      <c r="O10" s="259" t="s">
        <v>12</v>
      </c>
      <c r="P10" s="57" t="s">
        <v>98</v>
      </c>
      <c r="Q10" s="259" t="s">
        <v>203</v>
      </c>
      <c r="R10" s="258">
        <v>25715.199999999997</v>
      </c>
      <c r="S10" s="258">
        <v>16319.743999999999</v>
      </c>
      <c r="T10" s="258">
        <v>12742.195199999998</v>
      </c>
      <c r="U10" s="258">
        <v>30130.687999999998</v>
      </c>
      <c r="V10" s="258">
        <v>12554.035199999998</v>
      </c>
      <c r="W10" s="258">
        <v>31385.087999999996</v>
      </c>
      <c r="X10" s="400" t="s">
        <v>111</v>
      </c>
      <c r="Y10" s="401" t="s">
        <v>111</v>
      </c>
      <c r="Z10" s="255">
        <v>66.14</v>
      </c>
      <c r="AA10" s="255">
        <v>29.5</v>
      </c>
      <c r="AB10" s="396">
        <v>8</v>
      </c>
      <c r="AC10" s="398">
        <f t="shared" si="1"/>
        <v>3.6549999999999998</v>
      </c>
      <c r="AD10" s="185"/>
      <c r="AE10" s="2"/>
      <c r="AF10" s="186"/>
      <c r="AG10" s="193"/>
      <c r="AH10" s="196"/>
      <c r="AI10" s="195"/>
    </row>
    <row r="11" spans="1:35" ht="15.6" x14ac:dyDescent="0.3">
      <c r="A11" s="257" t="s">
        <v>11</v>
      </c>
      <c r="B11" s="58" t="s">
        <v>96</v>
      </c>
      <c r="C11" s="256" t="s">
        <v>221</v>
      </c>
      <c r="D11" s="255">
        <v>4824.6153846153848</v>
      </c>
      <c r="E11" s="255">
        <v>6700.8547008547002</v>
      </c>
      <c r="F11" s="255">
        <v>1608.2051282051279</v>
      </c>
      <c r="G11" s="255">
        <v>4020.5128205128199</v>
      </c>
      <c r="H11" s="255">
        <v>2680.3418803418804</v>
      </c>
      <c r="I11" s="255">
        <v>3216.4102564102559</v>
      </c>
      <c r="J11" s="255">
        <v>8041.0256410256397</v>
      </c>
      <c r="K11" s="397">
        <v>66.14</v>
      </c>
      <c r="L11" s="397">
        <v>29.5</v>
      </c>
      <c r="M11" s="397">
        <v>25</v>
      </c>
      <c r="N11" s="398">
        <f t="shared" si="0"/>
        <v>3.6549999999999998</v>
      </c>
      <c r="O11" s="259" t="s">
        <v>271</v>
      </c>
      <c r="P11" s="57" t="s">
        <v>98</v>
      </c>
      <c r="Q11" s="259" t="s">
        <v>221</v>
      </c>
      <c r="R11" s="258">
        <v>25715.199999999997</v>
      </c>
      <c r="S11" s="258">
        <v>16319.743999999999</v>
      </c>
      <c r="T11" s="258">
        <v>12742.195199999998</v>
      </c>
      <c r="U11" s="258">
        <v>30130.687999999998</v>
      </c>
      <c r="V11" s="258">
        <v>12554.035199999998</v>
      </c>
      <c r="W11" s="258">
        <v>31385.087999999996</v>
      </c>
      <c r="X11" s="400" t="s">
        <v>111</v>
      </c>
      <c r="Y11" s="401" t="s">
        <v>111</v>
      </c>
      <c r="Z11" s="255">
        <v>66.14</v>
      </c>
      <c r="AA11" s="255">
        <v>29.5</v>
      </c>
      <c r="AB11" s="396">
        <v>8</v>
      </c>
      <c r="AC11" s="398">
        <f t="shared" si="1"/>
        <v>3.6549999999999998</v>
      </c>
      <c r="AD11" s="185"/>
      <c r="AE11" s="2"/>
      <c r="AF11" s="186"/>
      <c r="AG11" s="193"/>
      <c r="AH11" s="196"/>
      <c r="AI11" s="195"/>
    </row>
    <row r="12" spans="1:35" ht="15.6" x14ac:dyDescent="0.3">
      <c r="A12" s="257" t="s">
        <v>11</v>
      </c>
      <c r="B12" s="57" t="s">
        <v>96</v>
      </c>
      <c r="C12" s="256" t="s">
        <v>212</v>
      </c>
      <c r="D12" s="255">
        <v>4824.6153846153848</v>
      </c>
      <c r="E12" s="255">
        <v>6700.8547008547002</v>
      </c>
      <c r="F12" s="255">
        <v>1608.2051282051279</v>
      </c>
      <c r="G12" s="255">
        <v>4020.5128205128199</v>
      </c>
      <c r="H12" s="255">
        <v>2680.3418803418804</v>
      </c>
      <c r="I12" s="255">
        <v>3216.4102564102559</v>
      </c>
      <c r="J12" s="255">
        <v>8041.0256410256397</v>
      </c>
      <c r="K12" s="397">
        <v>66.14</v>
      </c>
      <c r="L12" s="397">
        <v>29.5</v>
      </c>
      <c r="M12" s="397">
        <v>25</v>
      </c>
      <c r="N12" s="398">
        <f t="shared" si="0"/>
        <v>3.6549999999999998</v>
      </c>
      <c r="O12" s="259" t="s">
        <v>271</v>
      </c>
      <c r="P12" s="57" t="s">
        <v>98</v>
      </c>
      <c r="Q12" s="259" t="s">
        <v>212</v>
      </c>
      <c r="R12" s="258">
        <v>25715.199999999997</v>
      </c>
      <c r="S12" s="258">
        <v>16319.743999999999</v>
      </c>
      <c r="T12" s="258">
        <v>12742.195199999998</v>
      </c>
      <c r="U12" s="258">
        <v>30130.687999999998</v>
      </c>
      <c r="V12" s="258">
        <v>12554.035199999998</v>
      </c>
      <c r="W12" s="258">
        <v>31385.087999999996</v>
      </c>
      <c r="X12" s="400" t="s">
        <v>111</v>
      </c>
      <c r="Y12" s="401" t="s">
        <v>111</v>
      </c>
      <c r="Z12" s="255">
        <v>66.14</v>
      </c>
      <c r="AA12" s="255">
        <v>29.5</v>
      </c>
      <c r="AB12" s="396">
        <v>8</v>
      </c>
      <c r="AC12" s="398">
        <f t="shared" si="1"/>
        <v>3.6549999999999998</v>
      </c>
      <c r="AD12" s="185"/>
      <c r="AE12" s="2"/>
      <c r="AF12" s="186"/>
      <c r="AG12" s="193"/>
      <c r="AH12" s="196"/>
      <c r="AI12" s="195"/>
    </row>
    <row r="13" spans="1:35" ht="15.6" x14ac:dyDescent="0.3">
      <c r="A13" s="257" t="s">
        <v>11</v>
      </c>
      <c r="B13" s="57" t="s">
        <v>96</v>
      </c>
      <c r="C13" s="256" t="s">
        <v>203</v>
      </c>
      <c r="D13" s="255">
        <v>4824.6153846153848</v>
      </c>
      <c r="E13" s="255">
        <v>6700.8547008547002</v>
      </c>
      <c r="F13" s="255">
        <v>4824.6153846153848</v>
      </c>
      <c r="G13" s="255">
        <v>4020.5128205128199</v>
      </c>
      <c r="H13" s="255">
        <v>2680.3418803418804</v>
      </c>
      <c r="I13" s="255">
        <v>3216.4102564102559</v>
      </c>
      <c r="J13" s="255">
        <v>8041.0256410256397</v>
      </c>
      <c r="K13" s="397">
        <v>66.14</v>
      </c>
      <c r="L13" s="397">
        <v>29.5</v>
      </c>
      <c r="M13" s="397">
        <v>25</v>
      </c>
      <c r="N13" s="398">
        <f t="shared" si="0"/>
        <v>3.6549999999999998</v>
      </c>
      <c r="O13" s="259" t="s">
        <v>271</v>
      </c>
      <c r="P13" s="57" t="s">
        <v>98</v>
      </c>
      <c r="Q13" s="259" t="s">
        <v>203</v>
      </c>
      <c r="R13" s="258">
        <v>25715.199999999997</v>
      </c>
      <c r="S13" s="258">
        <v>16319.743999999999</v>
      </c>
      <c r="T13" s="258">
        <v>12742.195199999998</v>
      </c>
      <c r="U13" s="258">
        <v>30130.687999999998</v>
      </c>
      <c r="V13" s="258">
        <v>12554.035199999998</v>
      </c>
      <c r="W13" s="258">
        <v>31385.087999999996</v>
      </c>
      <c r="X13" s="400" t="s">
        <v>111</v>
      </c>
      <c r="Y13" s="401" t="s">
        <v>111</v>
      </c>
      <c r="Z13" s="255">
        <v>66.14</v>
      </c>
      <c r="AA13" s="255">
        <v>29.5</v>
      </c>
      <c r="AB13" s="396">
        <v>8</v>
      </c>
      <c r="AC13" s="398">
        <f t="shared" si="1"/>
        <v>3.6549999999999998</v>
      </c>
      <c r="AD13" s="185"/>
      <c r="AE13" s="2"/>
      <c r="AF13" s="186"/>
      <c r="AG13" s="193"/>
      <c r="AH13" s="196"/>
      <c r="AI13" s="195"/>
    </row>
    <row r="14" spans="1:35" ht="15.6" x14ac:dyDescent="0.3">
      <c r="A14" s="257" t="s">
        <v>11</v>
      </c>
      <c r="B14" s="57" t="s">
        <v>97</v>
      </c>
      <c r="C14" s="256" t="s">
        <v>221</v>
      </c>
      <c r="D14" s="255">
        <v>8684.3076923076915</v>
      </c>
      <c r="E14" s="255">
        <v>12061.538461538461</v>
      </c>
      <c r="F14" s="255">
        <v>5360.6837606837607</v>
      </c>
      <c r="G14" s="255">
        <v>7236.9230769230762</v>
      </c>
      <c r="H14" s="255">
        <v>4824.6153846153848</v>
      </c>
      <c r="I14" s="255">
        <v>5789.538461538461</v>
      </c>
      <c r="J14" s="255">
        <v>14473.846153846152</v>
      </c>
      <c r="K14" s="397">
        <v>66.14</v>
      </c>
      <c r="L14" s="397">
        <v>29.5</v>
      </c>
      <c r="M14" s="397">
        <v>25</v>
      </c>
      <c r="N14" s="398">
        <f t="shared" si="0"/>
        <v>3.6549999999999998</v>
      </c>
      <c r="O14" s="259" t="s">
        <v>270</v>
      </c>
      <c r="P14" s="57" t="s">
        <v>98</v>
      </c>
      <c r="Q14" s="259" t="s">
        <v>221</v>
      </c>
      <c r="R14" s="399">
        <v>25715.199999999997</v>
      </c>
      <c r="S14" s="399">
        <v>16319.743999999999</v>
      </c>
      <c r="T14" s="399">
        <v>12742.195199999998</v>
      </c>
      <c r="U14" s="399">
        <v>30130.687999999998</v>
      </c>
      <c r="V14" s="399">
        <v>12554.035199999998</v>
      </c>
      <c r="W14" s="399">
        <v>31385.087999999996</v>
      </c>
      <c r="X14" s="402" t="s">
        <v>111</v>
      </c>
      <c r="Y14" s="403" t="s">
        <v>111</v>
      </c>
      <c r="Z14" s="255">
        <v>66.14</v>
      </c>
      <c r="AA14" s="255">
        <v>29.5</v>
      </c>
      <c r="AB14" s="396">
        <v>8</v>
      </c>
      <c r="AC14" s="398">
        <f t="shared" si="1"/>
        <v>3.6549999999999998</v>
      </c>
      <c r="AD14" s="185"/>
      <c r="AE14" s="2"/>
      <c r="AF14" s="186"/>
      <c r="AG14" s="185"/>
      <c r="AH14" s="2"/>
      <c r="AI14" s="186"/>
    </row>
    <row r="15" spans="1:35" ht="15.6" x14ac:dyDescent="0.3">
      <c r="A15" s="257" t="s">
        <v>11</v>
      </c>
      <c r="B15" s="57" t="s">
        <v>97</v>
      </c>
      <c r="C15" s="256" t="s">
        <v>212</v>
      </c>
      <c r="D15" s="255">
        <v>8684.3076923076915</v>
      </c>
      <c r="E15" s="255">
        <v>12061.538461538461</v>
      </c>
      <c r="F15" s="255">
        <v>5360.6837606837607</v>
      </c>
      <c r="G15" s="255">
        <v>7236.9230769230762</v>
      </c>
      <c r="H15" s="255">
        <v>4824.6153846153848</v>
      </c>
      <c r="I15" s="255">
        <v>5789.538461538461</v>
      </c>
      <c r="J15" s="255">
        <v>14473.846153846152</v>
      </c>
      <c r="K15" s="397">
        <v>66.14</v>
      </c>
      <c r="L15" s="397">
        <v>29.5</v>
      </c>
      <c r="M15" s="397">
        <v>25</v>
      </c>
      <c r="N15" s="398">
        <f t="shared" si="0"/>
        <v>3.6549999999999998</v>
      </c>
      <c r="O15" s="259" t="s">
        <v>270</v>
      </c>
      <c r="P15" s="57" t="s">
        <v>98</v>
      </c>
      <c r="Q15" s="259" t="s">
        <v>212</v>
      </c>
      <c r="R15" s="399">
        <v>25715.199999999997</v>
      </c>
      <c r="S15" s="399">
        <v>16319.743999999999</v>
      </c>
      <c r="T15" s="399">
        <v>12742.195199999998</v>
      </c>
      <c r="U15" s="399">
        <v>30130.687999999998</v>
      </c>
      <c r="V15" s="399">
        <v>12554.035199999998</v>
      </c>
      <c r="W15" s="399">
        <v>31385.087999999996</v>
      </c>
      <c r="X15" s="402" t="s">
        <v>111</v>
      </c>
      <c r="Y15" s="403" t="s">
        <v>111</v>
      </c>
      <c r="Z15" s="255">
        <v>66.14</v>
      </c>
      <c r="AA15" s="255">
        <v>29.5</v>
      </c>
      <c r="AB15" s="396">
        <v>8</v>
      </c>
      <c r="AC15" s="398">
        <f t="shared" si="1"/>
        <v>3.6549999999999998</v>
      </c>
      <c r="AD15" s="185"/>
      <c r="AE15" s="2"/>
      <c r="AF15" s="186"/>
      <c r="AG15" s="185"/>
      <c r="AH15" s="2"/>
      <c r="AI15" s="186"/>
    </row>
    <row r="16" spans="1:35" ht="15.6" x14ac:dyDescent="0.3">
      <c r="A16" s="257" t="s">
        <v>11</v>
      </c>
      <c r="B16" s="57" t="s">
        <v>97</v>
      </c>
      <c r="C16" s="256" t="s">
        <v>203</v>
      </c>
      <c r="D16" s="255">
        <v>8684.3076923076915</v>
      </c>
      <c r="E16" s="255">
        <v>12061.538461538461</v>
      </c>
      <c r="F16" s="255">
        <v>5360.6837606837607</v>
      </c>
      <c r="G16" s="255">
        <v>7236.9230769230762</v>
      </c>
      <c r="H16" s="255">
        <v>4824.6153846153848</v>
      </c>
      <c r="I16" s="255">
        <v>5789.538461538461</v>
      </c>
      <c r="J16" s="255">
        <v>14473.846153846152</v>
      </c>
      <c r="K16" s="397">
        <v>66.14</v>
      </c>
      <c r="L16" s="397">
        <v>29.5</v>
      </c>
      <c r="M16" s="397">
        <v>25</v>
      </c>
      <c r="N16" s="398">
        <f t="shared" si="0"/>
        <v>3.6549999999999998</v>
      </c>
      <c r="O16" s="259" t="s">
        <v>270</v>
      </c>
      <c r="P16" s="57" t="s">
        <v>98</v>
      </c>
      <c r="Q16" s="259" t="s">
        <v>203</v>
      </c>
      <c r="R16" s="399">
        <v>25715.199999999997</v>
      </c>
      <c r="S16" s="399">
        <v>16319.743999999999</v>
      </c>
      <c r="T16" s="399">
        <v>12742.195199999998</v>
      </c>
      <c r="U16" s="399">
        <v>30130.687999999998</v>
      </c>
      <c r="V16" s="399">
        <v>12554.035199999998</v>
      </c>
      <c r="W16" s="399">
        <v>31385.087999999996</v>
      </c>
      <c r="X16" s="402" t="s">
        <v>111</v>
      </c>
      <c r="Y16" s="403" t="s">
        <v>111</v>
      </c>
      <c r="Z16" s="255">
        <v>66.14</v>
      </c>
      <c r="AA16" s="255">
        <v>29.5</v>
      </c>
      <c r="AB16" s="396">
        <v>8</v>
      </c>
      <c r="AC16" s="398">
        <f t="shared" si="1"/>
        <v>3.6549999999999998</v>
      </c>
      <c r="AD16" s="185"/>
      <c r="AE16" s="2"/>
      <c r="AF16" s="186"/>
      <c r="AG16" s="185"/>
      <c r="AH16" s="2"/>
      <c r="AI16" s="186"/>
    </row>
    <row r="17" spans="1:35" ht="15.6" x14ac:dyDescent="0.3">
      <c r="A17" s="257" t="s">
        <v>12</v>
      </c>
      <c r="B17" s="57" t="s">
        <v>94</v>
      </c>
      <c r="C17" s="256" t="s">
        <v>221</v>
      </c>
      <c r="D17" s="255">
        <v>8201.8461538461524</v>
      </c>
      <c r="E17" s="255">
        <v>11391.45299145299</v>
      </c>
      <c r="F17" s="255">
        <v>0</v>
      </c>
      <c r="G17" s="255">
        <v>6834.871794871794</v>
      </c>
      <c r="H17" s="255">
        <v>4556.5811965811972</v>
      </c>
      <c r="I17" s="255">
        <v>5467.8974358974356</v>
      </c>
      <c r="J17" s="255">
        <v>13669.743589743588</v>
      </c>
      <c r="K17" s="397">
        <v>66.14</v>
      </c>
      <c r="L17" s="397">
        <v>29.5</v>
      </c>
      <c r="M17" s="397">
        <v>25</v>
      </c>
      <c r="N17" s="398">
        <f t="shared" si="0"/>
        <v>3.6549999999999998</v>
      </c>
      <c r="Z17" s="255"/>
      <c r="AA17" s="255"/>
      <c r="AB17" s="255"/>
      <c r="AC17" s="254"/>
      <c r="AD17" s="185"/>
      <c r="AE17" s="2"/>
      <c r="AF17" s="186"/>
      <c r="AG17" s="185"/>
      <c r="AH17" s="2"/>
      <c r="AI17" s="186"/>
    </row>
    <row r="18" spans="1:35" ht="15.6" x14ac:dyDescent="0.3">
      <c r="A18" s="257" t="s">
        <v>12</v>
      </c>
      <c r="B18" s="58" t="s">
        <v>94</v>
      </c>
      <c r="C18" s="256" t="s">
        <v>212</v>
      </c>
      <c r="D18" s="255">
        <v>8201.8461538461524</v>
      </c>
      <c r="E18" s="255">
        <v>11391.45299145299</v>
      </c>
      <c r="F18" s="255">
        <v>0</v>
      </c>
      <c r="G18" s="255">
        <v>6834.871794871794</v>
      </c>
      <c r="H18" s="255">
        <v>4556.5811965811972</v>
      </c>
      <c r="I18" s="255">
        <v>5467.8974358974356</v>
      </c>
      <c r="J18" s="255">
        <v>13669.743589743588</v>
      </c>
      <c r="K18" s="397">
        <v>66.14</v>
      </c>
      <c r="L18" s="397">
        <v>29.5</v>
      </c>
      <c r="M18" s="397">
        <v>25</v>
      </c>
      <c r="N18" s="398">
        <f t="shared" si="0"/>
        <v>3.6549999999999998</v>
      </c>
      <c r="Z18" s="255"/>
      <c r="AA18" s="255"/>
      <c r="AB18" s="255"/>
      <c r="AC18" s="254"/>
      <c r="AD18" s="185"/>
      <c r="AE18" s="2"/>
      <c r="AF18" s="186"/>
      <c r="AG18" s="185"/>
      <c r="AH18" s="2"/>
      <c r="AI18" s="186"/>
    </row>
    <row r="19" spans="1:35" ht="15.6" x14ac:dyDescent="0.3">
      <c r="A19" s="257" t="s">
        <v>12</v>
      </c>
      <c r="B19" s="57" t="s">
        <v>94</v>
      </c>
      <c r="C19" s="256" t="s">
        <v>203</v>
      </c>
      <c r="D19" s="255">
        <v>8201.8461538461524</v>
      </c>
      <c r="E19" s="255">
        <v>11391.45299145299</v>
      </c>
      <c r="F19" s="255">
        <v>0</v>
      </c>
      <c r="G19" s="255">
        <v>6834.871794871794</v>
      </c>
      <c r="H19" s="255">
        <v>4556.5811965811972</v>
      </c>
      <c r="I19" s="255">
        <v>5467.8974358974356</v>
      </c>
      <c r="J19" s="255">
        <v>13669.743589743588</v>
      </c>
      <c r="K19" s="397">
        <v>66.14</v>
      </c>
      <c r="L19" s="397">
        <v>29.5</v>
      </c>
      <c r="M19" s="397">
        <v>25</v>
      </c>
      <c r="N19" s="398">
        <f t="shared" si="0"/>
        <v>3.6549999999999998</v>
      </c>
      <c r="Z19" s="255"/>
      <c r="AA19" s="255"/>
      <c r="AB19" s="255"/>
      <c r="AC19" s="254"/>
      <c r="AD19" s="185"/>
      <c r="AE19" s="2"/>
      <c r="AF19" s="186"/>
      <c r="AG19" s="185"/>
      <c r="AH19" s="2"/>
      <c r="AI19" s="186"/>
    </row>
    <row r="20" spans="1:35" ht="15.6" x14ac:dyDescent="0.3">
      <c r="A20" s="257" t="s">
        <v>12</v>
      </c>
      <c r="B20" s="57" t="s">
        <v>95</v>
      </c>
      <c r="C20" s="256" t="s">
        <v>221</v>
      </c>
      <c r="D20" s="255">
        <v>10614.153846153846</v>
      </c>
      <c r="E20" s="255">
        <v>14741.88034188034</v>
      </c>
      <c r="F20" s="255">
        <v>804.10256410256397</v>
      </c>
      <c r="G20" s="255">
        <v>8845.1282051282051</v>
      </c>
      <c r="H20" s="255">
        <v>5896.7521367521358</v>
      </c>
      <c r="I20" s="255">
        <v>7076.1025641025635</v>
      </c>
      <c r="J20" s="255">
        <v>17690.25641025641</v>
      </c>
      <c r="K20" s="397">
        <v>66.14</v>
      </c>
      <c r="L20" s="397">
        <v>29.5</v>
      </c>
      <c r="M20" s="397">
        <v>25</v>
      </c>
      <c r="N20" s="398">
        <f t="shared" si="0"/>
        <v>3.6549999999999998</v>
      </c>
      <c r="Z20" s="255"/>
      <c r="AA20" s="255"/>
      <c r="AB20" s="255"/>
      <c r="AC20" s="254"/>
    </row>
    <row r="21" spans="1:35" ht="15.6" x14ac:dyDescent="0.3">
      <c r="A21" s="257" t="s">
        <v>12</v>
      </c>
      <c r="B21" s="57" t="s">
        <v>95</v>
      </c>
      <c r="C21" s="256" t="s">
        <v>212</v>
      </c>
      <c r="D21" s="255">
        <v>10614.153846153846</v>
      </c>
      <c r="E21" s="255">
        <v>14741.88034188034</v>
      </c>
      <c r="F21" s="255">
        <v>804.10256410256397</v>
      </c>
      <c r="G21" s="255">
        <v>8845.1282051282051</v>
      </c>
      <c r="H21" s="255">
        <v>5896.7521367521358</v>
      </c>
      <c r="I21" s="255">
        <v>7076.1025641025635</v>
      </c>
      <c r="J21" s="255">
        <v>17690.25641025641</v>
      </c>
      <c r="K21" s="397">
        <v>66.14</v>
      </c>
      <c r="L21" s="397">
        <v>29.5</v>
      </c>
      <c r="M21" s="397">
        <v>25</v>
      </c>
      <c r="N21" s="398">
        <f t="shared" si="0"/>
        <v>3.6549999999999998</v>
      </c>
      <c r="Z21" s="255"/>
      <c r="AA21" s="255"/>
      <c r="AB21" s="255"/>
      <c r="AC21" s="254"/>
    </row>
    <row r="22" spans="1:35" ht="15.6" x14ac:dyDescent="0.3">
      <c r="A22" s="257" t="s">
        <v>12</v>
      </c>
      <c r="B22" s="57" t="s">
        <v>95</v>
      </c>
      <c r="C22" s="256" t="s">
        <v>203</v>
      </c>
      <c r="D22" s="255">
        <v>10614.153846153846</v>
      </c>
      <c r="E22" s="255">
        <v>14741.88034188034</v>
      </c>
      <c r="F22" s="255">
        <v>804.10256410256397</v>
      </c>
      <c r="G22" s="255">
        <v>8845.1282051282051</v>
      </c>
      <c r="H22" s="255">
        <v>5896.7521367521358</v>
      </c>
      <c r="I22" s="255">
        <v>7076.1025641025635</v>
      </c>
      <c r="J22" s="255">
        <v>17690.25641025641</v>
      </c>
      <c r="K22" s="397">
        <v>66.14</v>
      </c>
      <c r="L22" s="397">
        <v>29.5</v>
      </c>
      <c r="M22" s="397">
        <v>25</v>
      </c>
      <c r="N22" s="398">
        <f t="shared" si="0"/>
        <v>3.6549999999999998</v>
      </c>
      <c r="Z22" s="255"/>
      <c r="AA22" s="255"/>
      <c r="AB22" s="255"/>
      <c r="AC22" s="254"/>
    </row>
    <row r="23" spans="1:35" ht="15.6" x14ac:dyDescent="0.3">
      <c r="A23" s="257" t="s">
        <v>12</v>
      </c>
      <c r="B23" s="57" t="s">
        <v>96</v>
      </c>
      <c r="C23" s="256" t="s">
        <v>221</v>
      </c>
      <c r="D23" s="255">
        <v>4824.6153846153848</v>
      </c>
      <c r="E23" s="255">
        <v>6700.8547008547002</v>
      </c>
      <c r="F23" s="255">
        <v>1608.2051282051279</v>
      </c>
      <c r="G23" s="255">
        <v>4020.5128205128199</v>
      </c>
      <c r="H23" s="255">
        <v>2680.3418803418804</v>
      </c>
      <c r="I23" s="255">
        <v>3216.4102564102559</v>
      </c>
      <c r="J23" s="255">
        <v>8041.0256410256397</v>
      </c>
      <c r="K23" s="397">
        <v>66.14</v>
      </c>
      <c r="L23" s="397">
        <v>29.5</v>
      </c>
      <c r="M23" s="397">
        <v>25</v>
      </c>
      <c r="N23" s="398">
        <f t="shared" si="0"/>
        <v>3.6549999999999998</v>
      </c>
      <c r="Z23" s="255"/>
      <c r="AA23" s="255"/>
      <c r="AB23" s="255"/>
      <c r="AC23" s="254"/>
    </row>
    <row r="24" spans="1:35" ht="15.6" x14ac:dyDescent="0.3">
      <c r="A24" s="257" t="s">
        <v>12</v>
      </c>
      <c r="B24" s="57" t="s">
        <v>96</v>
      </c>
      <c r="C24" s="256" t="s">
        <v>212</v>
      </c>
      <c r="D24" s="255">
        <v>4824.6153846153848</v>
      </c>
      <c r="E24" s="255">
        <v>6700.8547008547002</v>
      </c>
      <c r="F24" s="255">
        <v>1608.2051282051279</v>
      </c>
      <c r="G24" s="255">
        <v>4020.5128205128199</v>
      </c>
      <c r="H24" s="255">
        <v>2680.3418803418804</v>
      </c>
      <c r="I24" s="255">
        <v>3216.4102564102559</v>
      </c>
      <c r="J24" s="255">
        <v>8041.0256410256397</v>
      </c>
      <c r="K24" s="397">
        <v>66.14</v>
      </c>
      <c r="L24" s="397">
        <v>29.5</v>
      </c>
      <c r="M24" s="397">
        <v>25</v>
      </c>
      <c r="N24" s="398">
        <f t="shared" si="0"/>
        <v>3.6549999999999998</v>
      </c>
      <c r="Z24" s="255"/>
      <c r="AA24" s="255"/>
      <c r="AB24" s="255"/>
      <c r="AC24" s="254"/>
    </row>
    <row r="25" spans="1:35" ht="15.6" x14ac:dyDescent="0.3">
      <c r="A25" s="257" t="s">
        <v>12</v>
      </c>
      <c r="B25" s="58" t="s">
        <v>96</v>
      </c>
      <c r="C25" s="256" t="s">
        <v>203</v>
      </c>
      <c r="D25" s="255">
        <v>4824.6153846153848</v>
      </c>
      <c r="E25" s="255">
        <v>6700.8547008547002</v>
      </c>
      <c r="F25" s="255">
        <v>4824.6153846153848</v>
      </c>
      <c r="G25" s="255">
        <v>4020.5128205128199</v>
      </c>
      <c r="H25" s="255">
        <v>2680.3418803418804</v>
      </c>
      <c r="I25" s="255">
        <v>3216.4102564102559</v>
      </c>
      <c r="J25" s="255">
        <v>8041.0256410256397</v>
      </c>
      <c r="K25" s="397">
        <v>66.14</v>
      </c>
      <c r="L25" s="397">
        <v>29.5</v>
      </c>
      <c r="M25" s="397">
        <v>25</v>
      </c>
      <c r="N25" s="398">
        <f t="shared" si="0"/>
        <v>3.6549999999999998</v>
      </c>
      <c r="Z25" s="255"/>
      <c r="AA25" s="255"/>
      <c r="AB25" s="255"/>
      <c r="AC25" s="254"/>
    </row>
    <row r="26" spans="1:35" ht="15.6" x14ac:dyDescent="0.3">
      <c r="A26" s="47" t="s">
        <v>12</v>
      </c>
      <c r="B26" s="312" t="s">
        <v>97</v>
      </c>
      <c r="C26" s="312" t="s">
        <v>221</v>
      </c>
      <c r="D26" s="139">
        <v>8684.3076923076915</v>
      </c>
      <c r="E26" s="139">
        <v>12061.538461538461</v>
      </c>
      <c r="F26" s="139">
        <v>5360.6837606837607</v>
      </c>
      <c r="G26" s="139">
        <v>7236.9230769230762</v>
      </c>
      <c r="H26" s="139">
        <v>4824.6153846153848</v>
      </c>
      <c r="I26" s="139">
        <v>5789.538461538461</v>
      </c>
      <c r="J26" s="139">
        <v>14473.846153846152</v>
      </c>
      <c r="K26" s="397">
        <v>66.14</v>
      </c>
      <c r="L26" s="397">
        <v>29.5</v>
      </c>
      <c r="M26" s="397">
        <v>25</v>
      </c>
      <c r="N26" s="398">
        <f t="shared" si="0"/>
        <v>3.6549999999999998</v>
      </c>
      <c r="Z26" s="255"/>
      <c r="AA26" s="255"/>
      <c r="AB26" s="255"/>
      <c r="AC26" s="254"/>
    </row>
    <row r="27" spans="1:35" ht="15.6" x14ac:dyDescent="0.3">
      <c r="A27" s="47" t="s">
        <v>12</v>
      </c>
      <c r="B27" s="312" t="s">
        <v>97</v>
      </c>
      <c r="C27" s="312" t="s">
        <v>212</v>
      </c>
      <c r="D27" s="139">
        <v>8684.3076923076915</v>
      </c>
      <c r="E27" s="139">
        <v>12061.538461538461</v>
      </c>
      <c r="F27" s="139">
        <v>5360.6837606837607</v>
      </c>
      <c r="G27" s="139">
        <v>7236.9230769230762</v>
      </c>
      <c r="H27" s="139">
        <v>4824.6153846153848</v>
      </c>
      <c r="I27" s="139">
        <v>5789.538461538461</v>
      </c>
      <c r="J27" s="139">
        <v>14473.846153846152</v>
      </c>
      <c r="K27" s="397">
        <v>66.14</v>
      </c>
      <c r="L27" s="397">
        <v>29.5</v>
      </c>
      <c r="M27" s="397">
        <v>25</v>
      </c>
      <c r="N27" s="398">
        <f t="shared" si="0"/>
        <v>3.6549999999999998</v>
      </c>
      <c r="Z27" s="255"/>
      <c r="AA27" s="255"/>
      <c r="AB27" s="255"/>
      <c r="AC27" s="254"/>
    </row>
    <row r="28" spans="1:35" ht="15.6" x14ac:dyDescent="0.3">
      <c r="A28" s="47" t="s">
        <v>12</v>
      </c>
      <c r="B28" s="312" t="s">
        <v>97</v>
      </c>
      <c r="C28" s="312" t="s">
        <v>203</v>
      </c>
      <c r="D28" s="139">
        <v>8684.3076923076915</v>
      </c>
      <c r="E28" s="139">
        <v>12061.538461538461</v>
      </c>
      <c r="F28" s="139">
        <v>5360.6837606837607</v>
      </c>
      <c r="G28" s="139">
        <v>7236.9230769230762</v>
      </c>
      <c r="H28" s="139">
        <v>4824.6153846153848</v>
      </c>
      <c r="I28" s="139">
        <v>5789.538461538461</v>
      </c>
      <c r="J28" s="139">
        <v>14473.846153846152</v>
      </c>
      <c r="K28" s="397">
        <v>66.14</v>
      </c>
      <c r="L28" s="397">
        <v>29.5</v>
      </c>
      <c r="M28" s="397">
        <v>25</v>
      </c>
      <c r="N28" s="398">
        <f t="shared" si="0"/>
        <v>3.6549999999999998</v>
      </c>
      <c r="Z28" s="255"/>
      <c r="AA28" s="255"/>
      <c r="AB28" s="255"/>
      <c r="AC28" s="254"/>
    </row>
    <row r="29" spans="1:35" ht="15.6" x14ac:dyDescent="0.3">
      <c r="A29" s="47" t="s">
        <v>271</v>
      </c>
      <c r="B29" s="312" t="s">
        <v>94</v>
      </c>
      <c r="C29" s="312" t="s">
        <v>221</v>
      </c>
      <c r="D29" s="139">
        <v>8201.8461538461524</v>
      </c>
      <c r="E29" s="139">
        <v>11391.45299145299</v>
      </c>
      <c r="F29" s="139">
        <v>0</v>
      </c>
      <c r="G29" s="139">
        <v>6834.871794871794</v>
      </c>
      <c r="H29" s="139">
        <v>4556.5811965811972</v>
      </c>
      <c r="I29" s="139">
        <v>5467.8974358974356</v>
      </c>
      <c r="J29" s="139">
        <v>13669.743589743588</v>
      </c>
      <c r="K29" s="397">
        <v>66.14</v>
      </c>
      <c r="L29" s="397">
        <v>29.5</v>
      </c>
      <c r="M29" s="397">
        <v>25</v>
      </c>
      <c r="N29" s="398">
        <f t="shared" si="0"/>
        <v>3.6549999999999998</v>
      </c>
      <c r="Z29" s="255"/>
      <c r="AA29" s="255"/>
      <c r="AB29" s="255"/>
      <c r="AC29" s="254"/>
    </row>
    <row r="30" spans="1:35" ht="15.6" x14ac:dyDescent="0.3">
      <c r="A30" s="47" t="s">
        <v>271</v>
      </c>
      <c r="B30" s="312" t="s">
        <v>94</v>
      </c>
      <c r="C30" s="312" t="s">
        <v>212</v>
      </c>
      <c r="D30" s="139">
        <v>8201.8461538461524</v>
      </c>
      <c r="E30" s="139">
        <v>11391.45299145299</v>
      </c>
      <c r="F30" s="139">
        <v>0</v>
      </c>
      <c r="G30" s="139">
        <v>6834.871794871794</v>
      </c>
      <c r="H30" s="139">
        <v>4556.5811965811972</v>
      </c>
      <c r="I30" s="139">
        <v>5467.8974358974356</v>
      </c>
      <c r="J30" s="139">
        <v>13669.743589743588</v>
      </c>
      <c r="K30" s="397">
        <v>66.14</v>
      </c>
      <c r="L30" s="397">
        <v>29.5</v>
      </c>
      <c r="M30" s="397">
        <v>25</v>
      </c>
      <c r="N30" s="398">
        <f t="shared" si="0"/>
        <v>3.6549999999999998</v>
      </c>
      <c r="Z30" s="255"/>
      <c r="AA30" s="255"/>
      <c r="AB30" s="255"/>
      <c r="AC30" s="254"/>
    </row>
    <row r="31" spans="1:35" ht="15.6" x14ac:dyDescent="0.3">
      <c r="A31" s="47" t="s">
        <v>271</v>
      </c>
      <c r="B31" s="312" t="s">
        <v>94</v>
      </c>
      <c r="C31" s="312" t="s">
        <v>203</v>
      </c>
      <c r="D31" s="139">
        <v>8201.8461538461524</v>
      </c>
      <c r="E31" s="139">
        <v>11391.45299145299</v>
      </c>
      <c r="F31" s="139">
        <v>0</v>
      </c>
      <c r="G31" s="139">
        <v>6834.871794871794</v>
      </c>
      <c r="H31" s="139">
        <v>4556.5811965811972</v>
      </c>
      <c r="I31" s="139">
        <v>5467.8974358974356</v>
      </c>
      <c r="J31" s="139">
        <v>13669.743589743588</v>
      </c>
      <c r="K31" s="397">
        <v>66.14</v>
      </c>
      <c r="L31" s="397">
        <v>29.5</v>
      </c>
      <c r="M31" s="397">
        <v>25</v>
      </c>
      <c r="N31" s="398">
        <f t="shared" si="0"/>
        <v>3.6549999999999998</v>
      </c>
      <c r="Z31" s="255"/>
      <c r="AA31" s="255"/>
      <c r="AB31" s="255"/>
      <c r="AC31" s="254"/>
    </row>
    <row r="32" spans="1:35" ht="15.6" x14ac:dyDescent="0.3">
      <c r="A32" s="47" t="s">
        <v>271</v>
      </c>
      <c r="B32" s="312" t="s">
        <v>95</v>
      </c>
      <c r="C32" s="312" t="s">
        <v>221</v>
      </c>
      <c r="D32" s="139">
        <v>10614.153846153846</v>
      </c>
      <c r="E32" s="139">
        <v>14741.88034188034</v>
      </c>
      <c r="F32" s="139">
        <v>804.10256410256397</v>
      </c>
      <c r="G32" s="139">
        <v>8845.1282051282051</v>
      </c>
      <c r="H32" s="139">
        <v>5896.7521367521358</v>
      </c>
      <c r="I32" s="139">
        <v>7076.1025641025635</v>
      </c>
      <c r="J32" s="139">
        <v>17690.25641025641</v>
      </c>
      <c r="K32" s="397">
        <v>66.14</v>
      </c>
      <c r="L32" s="397">
        <v>29.5</v>
      </c>
      <c r="M32" s="397">
        <v>25</v>
      </c>
      <c r="N32" s="398">
        <f t="shared" si="0"/>
        <v>3.6549999999999998</v>
      </c>
      <c r="Z32" s="255"/>
      <c r="AA32" s="255"/>
      <c r="AB32" s="255"/>
      <c r="AC32" s="254"/>
    </row>
    <row r="33" spans="1:29" ht="15.6" x14ac:dyDescent="0.3">
      <c r="A33" s="47" t="s">
        <v>271</v>
      </c>
      <c r="B33" s="312" t="s">
        <v>95</v>
      </c>
      <c r="C33" s="312" t="s">
        <v>212</v>
      </c>
      <c r="D33" s="139">
        <v>10614.153846153846</v>
      </c>
      <c r="E33" s="139">
        <v>14741.88034188034</v>
      </c>
      <c r="F33" s="139">
        <v>804.10256410256397</v>
      </c>
      <c r="G33" s="139">
        <v>8845.1282051282051</v>
      </c>
      <c r="H33" s="139">
        <v>5896.7521367521358</v>
      </c>
      <c r="I33" s="139">
        <v>7076.1025641025635</v>
      </c>
      <c r="J33" s="139">
        <v>17690.25641025641</v>
      </c>
      <c r="K33" s="397">
        <v>66.14</v>
      </c>
      <c r="L33" s="397">
        <v>29.5</v>
      </c>
      <c r="M33" s="397">
        <v>25</v>
      </c>
      <c r="N33" s="398">
        <f t="shared" si="0"/>
        <v>3.6549999999999998</v>
      </c>
      <c r="Z33" s="255"/>
      <c r="AA33" s="255"/>
      <c r="AB33" s="255"/>
      <c r="AC33" s="254"/>
    </row>
    <row r="34" spans="1:29" ht="15.6" x14ac:dyDescent="0.3">
      <c r="A34" s="47" t="s">
        <v>271</v>
      </c>
      <c r="B34" s="312" t="s">
        <v>95</v>
      </c>
      <c r="C34" s="312" t="s">
        <v>203</v>
      </c>
      <c r="D34" s="139">
        <v>10614.153846153846</v>
      </c>
      <c r="E34" s="139">
        <v>14741.88034188034</v>
      </c>
      <c r="F34" s="139">
        <v>804.10256410256397</v>
      </c>
      <c r="G34" s="139">
        <v>8845.1282051282051</v>
      </c>
      <c r="H34" s="139">
        <v>5896.7521367521358</v>
      </c>
      <c r="I34" s="139">
        <v>7076.1025641025635</v>
      </c>
      <c r="J34" s="139">
        <v>17690.25641025641</v>
      </c>
      <c r="K34" s="397">
        <v>66.14</v>
      </c>
      <c r="L34" s="397">
        <v>29.5</v>
      </c>
      <c r="M34" s="397">
        <v>25</v>
      </c>
      <c r="N34" s="398">
        <f t="shared" si="0"/>
        <v>3.6549999999999998</v>
      </c>
      <c r="Z34" s="255"/>
      <c r="AA34" s="255"/>
      <c r="AB34" s="255"/>
      <c r="AC34" s="254"/>
    </row>
    <row r="35" spans="1:29" ht="15.6" x14ac:dyDescent="0.3">
      <c r="A35" s="47" t="s">
        <v>271</v>
      </c>
      <c r="B35" s="312" t="s">
        <v>96</v>
      </c>
      <c r="C35" s="312" t="s">
        <v>221</v>
      </c>
      <c r="D35" s="139">
        <v>4824.6153846153848</v>
      </c>
      <c r="E35" s="139">
        <v>6700.8547008547002</v>
      </c>
      <c r="F35" s="139">
        <v>1608.2051282051279</v>
      </c>
      <c r="G35" s="139">
        <v>4020.5128205128199</v>
      </c>
      <c r="H35" s="139">
        <v>2680.3418803418804</v>
      </c>
      <c r="I35" s="139">
        <v>3216.4102564102559</v>
      </c>
      <c r="J35" s="139">
        <v>8041.0256410256397</v>
      </c>
      <c r="K35" s="397">
        <v>66.14</v>
      </c>
      <c r="L35" s="397">
        <v>29.5</v>
      </c>
      <c r="M35" s="397">
        <v>25</v>
      </c>
      <c r="N35" s="398">
        <f t="shared" si="0"/>
        <v>3.6549999999999998</v>
      </c>
      <c r="Z35" s="255"/>
      <c r="AA35" s="255"/>
      <c r="AB35" s="255"/>
      <c r="AC35" s="254"/>
    </row>
    <row r="36" spans="1:29" ht="15.6" x14ac:dyDescent="0.3">
      <c r="A36" s="47" t="s">
        <v>271</v>
      </c>
      <c r="B36" s="312" t="s">
        <v>96</v>
      </c>
      <c r="C36" s="312" t="s">
        <v>212</v>
      </c>
      <c r="D36" s="139">
        <v>4824.6153846153848</v>
      </c>
      <c r="E36" s="139">
        <v>6700.8547008547002</v>
      </c>
      <c r="F36" s="139">
        <v>1608.2051282051279</v>
      </c>
      <c r="G36" s="139">
        <v>4020.5128205128199</v>
      </c>
      <c r="H36" s="139">
        <v>2680.3418803418804</v>
      </c>
      <c r="I36" s="139">
        <v>3216.4102564102559</v>
      </c>
      <c r="J36" s="139">
        <v>8041.0256410256397</v>
      </c>
      <c r="K36" s="397">
        <v>66.14</v>
      </c>
      <c r="L36" s="397">
        <v>29.5</v>
      </c>
      <c r="M36" s="397">
        <v>25</v>
      </c>
      <c r="N36" s="398">
        <f t="shared" si="0"/>
        <v>3.6549999999999998</v>
      </c>
    </row>
    <row r="37" spans="1:29" ht="15.6" x14ac:dyDescent="0.3">
      <c r="A37" s="47" t="s">
        <v>271</v>
      </c>
      <c r="B37" s="312" t="s">
        <v>96</v>
      </c>
      <c r="C37" s="312" t="s">
        <v>203</v>
      </c>
      <c r="D37" s="139">
        <v>4824.6153846153848</v>
      </c>
      <c r="E37" s="139">
        <v>6700.8547008547002</v>
      </c>
      <c r="F37" s="139">
        <v>4824.6153846153848</v>
      </c>
      <c r="G37" s="139">
        <v>4020.5128205128199</v>
      </c>
      <c r="H37" s="139">
        <v>2680.3418803418804</v>
      </c>
      <c r="I37" s="139">
        <v>3216.4102564102559</v>
      </c>
      <c r="J37" s="139">
        <v>8041.0256410256397</v>
      </c>
      <c r="K37" s="397">
        <v>66.14</v>
      </c>
      <c r="L37" s="397">
        <v>29.5</v>
      </c>
      <c r="M37" s="397">
        <v>25</v>
      </c>
      <c r="N37" s="398">
        <f t="shared" si="0"/>
        <v>3.6549999999999998</v>
      </c>
    </row>
    <row r="38" spans="1:29" ht="15.6" x14ac:dyDescent="0.3">
      <c r="A38" s="47" t="s">
        <v>271</v>
      </c>
      <c r="B38" s="312" t="s">
        <v>97</v>
      </c>
      <c r="C38" s="312" t="s">
        <v>221</v>
      </c>
      <c r="D38" s="139">
        <v>8684.3076923076915</v>
      </c>
      <c r="E38" s="139">
        <v>12061.538461538461</v>
      </c>
      <c r="F38" s="139">
        <v>5360.6837606837607</v>
      </c>
      <c r="G38" s="139">
        <v>7236.9230769230762</v>
      </c>
      <c r="H38" s="139">
        <v>4824.6153846153848</v>
      </c>
      <c r="I38" s="139">
        <v>5789.538461538461</v>
      </c>
      <c r="J38" s="139">
        <v>14473.846153846152</v>
      </c>
      <c r="K38" s="397">
        <v>66.14</v>
      </c>
      <c r="L38" s="397">
        <v>29.5</v>
      </c>
      <c r="M38" s="397">
        <v>25</v>
      </c>
      <c r="N38" s="398">
        <f t="shared" si="0"/>
        <v>3.6549999999999998</v>
      </c>
    </row>
    <row r="39" spans="1:29" ht="15.6" x14ac:dyDescent="0.3">
      <c r="A39" s="47" t="s">
        <v>271</v>
      </c>
      <c r="B39" s="312" t="s">
        <v>97</v>
      </c>
      <c r="C39" s="312" t="s">
        <v>212</v>
      </c>
      <c r="D39" s="139">
        <v>8684.3076923076915</v>
      </c>
      <c r="E39" s="139">
        <v>12061.538461538461</v>
      </c>
      <c r="F39" s="139">
        <v>5360.6837606837607</v>
      </c>
      <c r="G39" s="139">
        <v>7236.9230769230762</v>
      </c>
      <c r="H39" s="139">
        <v>4824.6153846153848</v>
      </c>
      <c r="I39" s="139">
        <v>5789.538461538461</v>
      </c>
      <c r="J39" s="139">
        <v>14473.846153846152</v>
      </c>
      <c r="K39" s="397">
        <v>66.14</v>
      </c>
      <c r="L39" s="397">
        <v>29.5</v>
      </c>
      <c r="M39" s="397">
        <v>25</v>
      </c>
      <c r="N39" s="398">
        <f t="shared" si="0"/>
        <v>3.6549999999999998</v>
      </c>
    </row>
    <row r="40" spans="1:29" ht="15.6" x14ac:dyDescent="0.3">
      <c r="A40" s="47" t="s">
        <v>271</v>
      </c>
      <c r="B40" s="312" t="s">
        <v>97</v>
      </c>
      <c r="C40" s="312" t="s">
        <v>203</v>
      </c>
      <c r="D40" s="139">
        <v>8684.3076923076915</v>
      </c>
      <c r="E40" s="139">
        <v>12061.538461538461</v>
      </c>
      <c r="F40" s="139">
        <v>5360.6837606837607</v>
      </c>
      <c r="G40" s="139">
        <v>7236.9230769230762</v>
      </c>
      <c r="H40" s="139">
        <v>4824.6153846153848</v>
      </c>
      <c r="I40" s="139">
        <v>5789.538461538461</v>
      </c>
      <c r="J40" s="139">
        <v>14473.846153846152</v>
      </c>
      <c r="K40" s="397">
        <v>66.14</v>
      </c>
      <c r="L40" s="397">
        <v>29.5</v>
      </c>
      <c r="M40" s="397">
        <v>25</v>
      </c>
      <c r="N40" s="398">
        <f t="shared" si="0"/>
        <v>3.6549999999999998</v>
      </c>
    </row>
    <row r="41" spans="1:29" ht="15.6" x14ac:dyDescent="0.3">
      <c r="A41" s="47" t="s">
        <v>270</v>
      </c>
      <c r="B41" s="312" t="s">
        <v>94</v>
      </c>
      <c r="C41" s="312" t="s">
        <v>221</v>
      </c>
      <c r="D41" s="139">
        <v>8201.8461538461524</v>
      </c>
      <c r="E41" s="139">
        <v>11391.45299145299</v>
      </c>
      <c r="F41" s="139">
        <v>0</v>
      </c>
      <c r="G41" s="139">
        <v>6834.871794871794</v>
      </c>
      <c r="H41" s="139">
        <v>4556.5811965811972</v>
      </c>
      <c r="I41" s="139">
        <v>5467.8974358974356</v>
      </c>
      <c r="J41" s="139">
        <v>13669.743589743588</v>
      </c>
      <c r="K41" s="397">
        <v>66.14</v>
      </c>
      <c r="L41" s="397">
        <v>29.5</v>
      </c>
      <c r="M41" s="397">
        <v>25</v>
      </c>
      <c r="N41" s="398">
        <f t="shared" si="0"/>
        <v>3.6549999999999998</v>
      </c>
    </row>
    <row r="42" spans="1:29" ht="15.6" x14ac:dyDescent="0.3">
      <c r="A42" s="47" t="s">
        <v>270</v>
      </c>
      <c r="B42" s="312" t="s">
        <v>94</v>
      </c>
      <c r="C42" s="312" t="s">
        <v>212</v>
      </c>
      <c r="D42" s="139">
        <v>8201.8461538461524</v>
      </c>
      <c r="E42" s="139">
        <v>11391.45299145299</v>
      </c>
      <c r="F42" s="139">
        <v>0</v>
      </c>
      <c r="G42" s="139">
        <v>6834.871794871794</v>
      </c>
      <c r="H42" s="139">
        <v>4556.5811965811972</v>
      </c>
      <c r="I42" s="139">
        <v>5467.8974358974356</v>
      </c>
      <c r="J42" s="139">
        <v>13669.743589743588</v>
      </c>
      <c r="K42" s="397">
        <v>66.14</v>
      </c>
      <c r="L42" s="397">
        <v>29.5</v>
      </c>
      <c r="M42" s="397">
        <v>25</v>
      </c>
      <c r="N42" s="398">
        <f t="shared" si="0"/>
        <v>3.6549999999999998</v>
      </c>
    </row>
    <row r="43" spans="1:29" ht="15.6" x14ac:dyDescent="0.3">
      <c r="A43" s="47" t="s">
        <v>270</v>
      </c>
      <c r="B43" s="312" t="s">
        <v>94</v>
      </c>
      <c r="C43" s="312" t="s">
        <v>203</v>
      </c>
      <c r="D43" s="139">
        <v>8201.8461538461524</v>
      </c>
      <c r="E43" s="139">
        <v>11391.45299145299</v>
      </c>
      <c r="F43" s="139">
        <v>0</v>
      </c>
      <c r="G43" s="139">
        <v>6834.871794871794</v>
      </c>
      <c r="H43" s="139">
        <v>4556.5811965811972</v>
      </c>
      <c r="I43" s="139">
        <v>5467.8974358974356</v>
      </c>
      <c r="J43" s="139">
        <v>13669.743589743588</v>
      </c>
      <c r="K43" s="397">
        <v>66.14</v>
      </c>
      <c r="L43" s="397">
        <v>29.5</v>
      </c>
      <c r="M43" s="397">
        <v>25</v>
      </c>
      <c r="N43" s="398">
        <f t="shared" si="0"/>
        <v>3.6549999999999998</v>
      </c>
    </row>
    <row r="44" spans="1:29" ht="15.6" x14ac:dyDescent="0.3">
      <c r="A44" s="47" t="s">
        <v>270</v>
      </c>
      <c r="B44" s="312" t="s">
        <v>95</v>
      </c>
      <c r="C44" s="312" t="s">
        <v>221</v>
      </c>
      <c r="D44" s="139">
        <v>10614.153846153846</v>
      </c>
      <c r="E44" s="139">
        <v>14741.88034188034</v>
      </c>
      <c r="F44" s="139">
        <v>804.10256410256397</v>
      </c>
      <c r="G44" s="139">
        <v>8845.1282051282051</v>
      </c>
      <c r="H44" s="139">
        <v>5896.7521367521358</v>
      </c>
      <c r="I44" s="139">
        <v>7076.1025641025635</v>
      </c>
      <c r="J44" s="139">
        <v>17690.25641025641</v>
      </c>
      <c r="K44" s="397">
        <v>66.14</v>
      </c>
      <c r="L44" s="397">
        <v>29.5</v>
      </c>
      <c r="M44" s="397">
        <v>25</v>
      </c>
      <c r="N44" s="398">
        <f t="shared" si="0"/>
        <v>3.6549999999999998</v>
      </c>
    </row>
    <row r="45" spans="1:29" ht="15.6" x14ac:dyDescent="0.3">
      <c r="A45" s="47" t="s">
        <v>270</v>
      </c>
      <c r="B45" s="312" t="s">
        <v>95</v>
      </c>
      <c r="C45" s="312" t="s">
        <v>212</v>
      </c>
      <c r="D45" s="139">
        <v>10614.153846153846</v>
      </c>
      <c r="E45" s="139">
        <v>14741.88034188034</v>
      </c>
      <c r="F45" s="139">
        <v>804.10256410256397</v>
      </c>
      <c r="G45" s="139">
        <v>8845.1282051282051</v>
      </c>
      <c r="H45" s="139">
        <v>5896.7521367521358</v>
      </c>
      <c r="I45" s="139">
        <v>7076.1025641025635</v>
      </c>
      <c r="J45" s="139">
        <v>17690.25641025641</v>
      </c>
      <c r="K45" s="397">
        <v>66.14</v>
      </c>
      <c r="L45" s="397">
        <v>29.5</v>
      </c>
      <c r="M45" s="397">
        <v>25</v>
      </c>
      <c r="N45" s="398">
        <f t="shared" si="0"/>
        <v>3.6549999999999998</v>
      </c>
    </row>
    <row r="46" spans="1:29" ht="15.6" x14ac:dyDescent="0.3">
      <c r="A46" s="47" t="s">
        <v>270</v>
      </c>
      <c r="B46" s="312" t="s">
        <v>95</v>
      </c>
      <c r="C46" s="312" t="s">
        <v>203</v>
      </c>
      <c r="D46" s="139">
        <v>10614.153846153846</v>
      </c>
      <c r="E46" s="139">
        <v>14741.88034188034</v>
      </c>
      <c r="F46" s="139">
        <v>804.10256410256397</v>
      </c>
      <c r="G46" s="139">
        <v>8845.1282051282051</v>
      </c>
      <c r="H46" s="139">
        <v>5896.7521367521358</v>
      </c>
      <c r="I46" s="139">
        <v>7076.1025641025635</v>
      </c>
      <c r="J46" s="139">
        <v>17690.25641025641</v>
      </c>
      <c r="K46" s="397">
        <v>66.14</v>
      </c>
      <c r="L46" s="397">
        <v>29.5</v>
      </c>
      <c r="M46" s="397">
        <v>25</v>
      </c>
      <c r="N46" s="398">
        <f t="shared" si="0"/>
        <v>3.6549999999999998</v>
      </c>
    </row>
    <row r="47" spans="1:29" ht="15.6" x14ac:dyDescent="0.3">
      <c r="A47" s="47" t="s">
        <v>270</v>
      </c>
      <c r="B47" s="312" t="s">
        <v>96</v>
      </c>
      <c r="C47" s="312" t="s">
        <v>221</v>
      </c>
      <c r="D47" s="139">
        <v>4824.6153846153848</v>
      </c>
      <c r="E47" s="139">
        <v>6700.8547008547002</v>
      </c>
      <c r="F47" s="139">
        <v>1608.2051282051279</v>
      </c>
      <c r="G47" s="139">
        <v>4020.5128205128199</v>
      </c>
      <c r="H47" s="139">
        <v>2680.3418803418804</v>
      </c>
      <c r="I47" s="139">
        <v>3216.4102564102559</v>
      </c>
      <c r="J47" s="139">
        <v>8041.0256410256397</v>
      </c>
      <c r="K47" s="397">
        <v>66.14</v>
      </c>
      <c r="L47" s="397">
        <v>29.5</v>
      </c>
      <c r="M47" s="397">
        <v>25</v>
      </c>
      <c r="N47" s="398">
        <f t="shared" si="0"/>
        <v>3.6549999999999998</v>
      </c>
    </row>
    <row r="48" spans="1:29" ht="15.6" x14ac:dyDescent="0.3">
      <c r="A48" s="47" t="s">
        <v>270</v>
      </c>
      <c r="B48" s="312" t="s">
        <v>96</v>
      </c>
      <c r="C48" s="312" t="s">
        <v>212</v>
      </c>
      <c r="D48" s="139">
        <v>4824.6153846153848</v>
      </c>
      <c r="E48" s="139">
        <v>6700.8547008547002</v>
      </c>
      <c r="F48" s="139">
        <v>1608.2051282051279</v>
      </c>
      <c r="G48" s="139">
        <v>4020.5128205128199</v>
      </c>
      <c r="H48" s="139">
        <v>2680.3418803418804</v>
      </c>
      <c r="I48" s="139">
        <v>3216.4102564102559</v>
      </c>
      <c r="J48" s="139">
        <v>8041.0256410256397</v>
      </c>
      <c r="K48" s="397">
        <v>66.14</v>
      </c>
      <c r="L48" s="397">
        <v>29.5</v>
      </c>
      <c r="M48" s="397">
        <v>25</v>
      </c>
      <c r="N48" s="398">
        <f t="shared" si="0"/>
        <v>3.6549999999999998</v>
      </c>
    </row>
    <row r="49" spans="1:14" ht="15.6" x14ac:dyDescent="0.3">
      <c r="A49" s="47" t="s">
        <v>270</v>
      </c>
      <c r="B49" s="312" t="s">
        <v>96</v>
      </c>
      <c r="C49" s="312" t="s">
        <v>203</v>
      </c>
      <c r="D49" s="139">
        <v>4824.6153846153848</v>
      </c>
      <c r="E49" s="139">
        <v>6700.8547008547002</v>
      </c>
      <c r="F49" s="139">
        <v>4824.6153846153848</v>
      </c>
      <c r="G49" s="139">
        <v>4020.5128205128199</v>
      </c>
      <c r="H49" s="139">
        <v>2680.3418803418804</v>
      </c>
      <c r="I49" s="139">
        <v>3216.4102564102559</v>
      </c>
      <c r="J49" s="139">
        <v>8041.0256410256397</v>
      </c>
      <c r="K49" s="397">
        <v>66.14</v>
      </c>
      <c r="L49" s="397">
        <v>29.5</v>
      </c>
      <c r="M49" s="397">
        <v>25</v>
      </c>
      <c r="N49" s="398">
        <f t="shared" si="0"/>
        <v>3.6549999999999998</v>
      </c>
    </row>
    <row r="50" spans="1:14" ht="15.6" x14ac:dyDescent="0.3">
      <c r="A50" s="47" t="s">
        <v>270</v>
      </c>
      <c r="B50" s="312" t="s">
        <v>97</v>
      </c>
      <c r="C50" s="312" t="s">
        <v>221</v>
      </c>
      <c r="D50" s="139">
        <v>8684.3076923076915</v>
      </c>
      <c r="E50" s="139">
        <v>12061.538461538461</v>
      </c>
      <c r="F50" s="139">
        <v>5360.6837606837607</v>
      </c>
      <c r="G50" s="139">
        <v>7236.9230769230762</v>
      </c>
      <c r="H50" s="139">
        <v>4824.6153846153848</v>
      </c>
      <c r="I50" s="139">
        <v>5789.538461538461</v>
      </c>
      <c r="J50" s="139">
        <v>14473.846153846152</v>
      </c>
      <c r="K50" s="397">
        <v>66.14</v>
      </c>
      <c r="L50" s="397">
        <v>29.5</v>
      </c>
      <c r="M50" s="397">
        <v>25</v>
      </c>
      <c r="N50" s="398">
        <f t="shared" si="0"/>
        <v>3.6549999999999998</v>
      </c>
    </row>
    <row r="51" spans="1:14" ht="15.6" x14ac:dyDescent="0.3">
      <c r="A51" s="47" t="s">
        <v>270</v>
      </c>
      <c r="B51" s="312" t="s">
        <v>97</v>
      </c>
      <c r="C51" s="312" t="s">
        <v>212</v>
      </c>
      <c r="D51" s="139">
        <v>8684.3076923076915</v>
      </c>
      <c r="E51" s="139">
        <v>12061.538461538461</v>
      </c>
      <c r="F51" s="139">
        <v>5360.6837606837607</v>
      </c>
      <c r="G51" s="139">
        <v>7236.9230769230762</v>
      </c>
      <c r="H51" s="139">
        <v>4824.6153846153848</v>
      </c>
      <c r="I51" s="139">
        <v>5789.538461538461</v>
      </c>
      <c r="J51" s="139">
        <v>14473.846153846152</v>
      </c>
      <c r="K51" s="397">
        <v>66.14</v>
      </c>
      <c r="L51" s="397">
        <v>29.5</v>
      </c>
      <c r="M51" s="397">
        <v>25</v>
      </c>
      <c r="N51" s="398">
        <f t="shared" si="0"/>
        <v>3.6549999999999998</v>
      </c>
    </row>
    <row r="52" spans="1:14" ht="15.6" x14ac:dyDescent="0.3">
      <c r="A52" s="47" t="s">
        <v>270</v>
      </c>
      <c r="B52" s="312" t="s">
        <v>97</v>
      </c>
      <c r="C52" s="312" t="s">
        <v>203</v>
      </c>
      <c r="D52" s="139">
        <v>8684.3076923076915</v>
      </c>
      <c r="E52" s="139">
        <v>12061.538461538461</v>
      </c>
      <c r="F52" s="139">
        <v>5360.6837606837607</v>
      </c>
      <c r="G52" s="139">
        <v>7236.9230769230762</v>
      </c>
      <c r="H52" s="139">
        <v>4824.6153846153848</v>
      </c>
      <c r="I52" s="139">
        <v>5789.538461538461</v>
      </c>
      <c r="J52" s="139">
        <v>14473.846153846152</v>
      </c>
      <c r="K52" s="397">
        <v>66.14</v>
      </c>
      <c r="L52" s="397">
        <v>29.5</v>
      </c>
      <c r="M52" s="397">
        <v>25</v>
      </c>
      <c r="N52" s="398">
        <f t="shared" si="0"/>
        <v>3.6549999999999998</v>
      </c>
    </row>
  </sheetData>
  <mergeCells count="7">
    <mergeCell ref="A1:J1"/>
    <mergeCell ref="A2:J2"/>
    <mergeCell ref="O1:Y1"/>
    <mergeCell ref="AD1:AF1"/>
    <mergeCell ref="AG1:AI1"/>
    <mergeCell ref="K1:N1"/>
    <mergeCell ref="Z1:AC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D982-F398-4031-9DB2-9820B2A1BFF8}">
  <dimension ref="A1:AC78"/>
  <sheetViews>
    <sheetView topLeftCell="E1" zoomScale="62" zoomScaleNormal="100" workbookViewId="0">
      <selection activeCell="O8" sqref="O8"/>
    </sheetView>
  </sheetViews>
  <sheetFormatPr baseColWidth="10" defaultColWidth="11.44140625" defaultRowHeight="14.4" x14ac:dyDescent="0.3"/>
  <cols>
    <col min="1" max="2" width="27.109375" style="90" customWidth="1"/>
    <col min="3" max="3" width="16.44140625" style="144" customWidth="1"/>
    <col min="4" max="4" width="13.44140625" style="144" customWidth="1"/>
    <col min="5" max="5" width="18.109375" style="144" customWidth="1"/>
    <col min="6" max="6" width="14.6640625" style="270" customWidth="1"/>
    <col min="7" max="7" width="11.5546875" style="83" bestFit="1" customWidth="1"/>
    <col min="8" max="8" width="11.44140625" style="144"/>
    <col min="9" max="9" width="22" style="144" customWidth="1"/>
    <col min="10" max="11" width="11.44140625" style="144"/>
    <col min="12" max="12" width="11.5546875" style="144" bestFit="1" customWidth="1"/>
    <col min="13" max="13" width="15.88671875" style="144" customWidth="1"/>
    <col min="14" max="14" width="11.5546875" style="144" bestFit="1" customWidth="1"/>
    <col min="15" max="15" width="19.5546875" style="144" customWidth="1"/>
    <col min="16" max="16" width="12.6640625" style="144" bestFit="1" customWidth="1"/>
    <col min="17" max="18" width="11.5546875" style="144" bestFit="1" customWidth="1"/>
    <col min="19" max="19" width="11.44140625" style="8"/>
    <col min="20" max="20" width="11.44140625" style="6"/>
    <col min="21" max="21" width="18.6640625" style="144" bestFit="1" customWidth="1"/>
    <col min="22" max="22" width="11.44140625" style="144"/>
    <col min="23" max="28" width="11.5546875" style="269" bestFit="1" customWidth="1"/>
    <col min="29" max="29" width="11.5546875" style="268" bestFit="1" customWidth="1"/>
    <col min="30" max="16384" width="11.44140625" style="144"/>
  </cols>
  <sheetData>
    <row r="1" spans="1:29" s="309" customFormat="1" ht="21" x14ac:dyDescent="0.4">
      <c r="A1" s="310" t="s">
        <v>509</v>
      </c>
      <c r="B1" s="310" t="s">
        <v>508</v>
      </c>
      <c r="C1" s="452" t="s">
        <v>507</v>
      </c>
      <c r="D1" s="453"/>
      <c r="E1" s="456"/>
      <c r="F1" s="457" t="s">
        <v>506</v>
      </c>
      <c r="G1" s="458"/>
      <c r="H1" s="452" t="s">
        <v>505</v>
      </c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6"/>
      <c r="T1" s="452" t="s">
        <v>504</v>
      </c>
      <c r="U1" s="453"/>
      <c r="V1" s="453"/>
      <c r="W1" s="453"/>
      <c r="X1" s="453"/>
      <c r="Y1" s="453"/>
      <c r="Z1" s="453"/>
      <c r="AA1" s="453"/>
      <c r="AB1" s="453"/>
      <c r="AC1" s="456"/>
    </row>
    <row r="2" spans="1:29" ht="31.8" thickBot="1" x14ac:dyDescent="0.35">
      <c r="A2" s="114" t="s">
        <v>84</v>
      </c>
      <c r="B2" s="113" t="s">
        <v>85</v>
      </c>
      <c r="C2" s="178" t="s">
        <v>86</v>
      </c>
      <c r="D2" s="308" t="s">
        <v>87</v>
      </c>
      <c r="E2" s="176" t="s">
        <v>88</v>
      </c>
      <c r="F2" s="307"/>
      <c r="G2" s="306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5"/>
      <c r="T2" s="304"/>
      <c r="U2" s="303"/>
      <c r="V2" s="303"/>
      <c r="W2" s="302"/>
      <c r="X2" s="302"/>
      <c r="Y2" s="302"/>
      <c r="Z2" s="302"/>
      <c r="AA2" s="302"/>
      <c r="AB2" s="302"/>
      <c r="AC2" s="301"/>
    </row>
    <row r="3" spans="1:29" ht="47.4" thickBot="1" x14ac:dyDescent="0.35">
      <c r="A3" s="300" t="s">
        <v>282</v>
      </c>
      <c r="B3" s="299" t="s">
        <v>503</v>
      </c>
      <c r="C3" s="293" t="s">
        <v>40</v>
      </c>
      <c r="D3" s="298" t="s">
        <v>502</v>
      </c>
      <c r="E3" s="298" t="s">
        <v>501</v>
      </c>
      <c r="F3" s="297" t="s">
        <v>3</v>
      </c>
      <c r="G3" s="296" t="s">
        <v>500</v>
      </c>
      <c r="H3" s="293" t="s">
        <v>499</v>
      </c>
      <c r="I3" s="293" t="s">
        <v>282</v>
      </c>
      <c r="J3" s="293" t="s">
        <v>498</v>
      </c>
      <c r="K3" s="294" t="s">
        <v>497</v>
      </c>
      <c r="L3" s="294" t="s">
        <v>496</v>
      </c>
      <c r="M3" s="294" t="s">
        <v>495</v>
      </c>
      <c r="N3" s="294" t="s">
        <v>494</v>
      </c>
      <c r="O3" s="294" t="s">
        <v>493</v>
      </c>
      <c r="P3" s="293" t="s">
        <v>492</v>
      </c>
      <c r="Q3" s="293" t="s">
        <v>491</v>
      </c>
      <c r="R3" s="293" t="s">
        <v>490</v>
      </c>
      <c r="S3" s="292" t="s">
        <v>489</v>
      </c>
      <c r="T3" s="295" t="s">
        <v>273</v>
      </c>
      <c r="U3" s="294" t="s">
        <v>15</v>
      </c>
      <c r="V3" s="294" t="s">
        <v>459</v>
      </c>
      <c r="W3" s="294" t="s">
        <v>488</v>
      </c>
      <c r="X3" s="294" t="s">
        <v>487</v>
      </c>
      <c r="Y3" s="294" t="s">
        <v>486</v>
      </c>
      <c r="Z3" s="294" t="s">
        <v>485</v>
      </c>
      <c r="AA3" s="293" t="s">
        <v>484</v>
      </c>
      <c r="AB3" s="293" t="s">
        <v>483</v>
      </c>
      <c r="AC3" s="292" t="s">
        <v>482</v>
      </c>
    </row>
    <row r="4" spans="1:29" s="271" customFormat="1" ht="47.4" thickBot="1" x14ac:dyDescent="0.35">
      <c r="A4" s="291" t="s">
        <v>172</v>
      </c>
      <c r="B4" s="290">
        <v>0.02</v>
      </c>
      <c r="C4" s="287" t="s">
        <v>273</v>
      </c>
      <c r="D4" s="287" t="s">
        <v>3</v>
      </c>
      <c r="E4" s="289" t="s">
        <v>481</v>
      </c>
      <c r="F4" s="205" t="s">
        <v>480</v>
      </c>
      <c r="G4" s="288">
        <v>0</v>
      </c>
      <c r="H4" s="287" t="s">
        <v>273</v>
      </c>
      <c r="I4" s="287" t="s">
        <v>15</v>
      </c>
      <c r="J4" s="287" t="s">
        <v>305</v>
      </c>
      <c r="K4" s="287" t="s">
        <v>432</v>
      </c>
      <c r="L4" s="287" t="s">
        <v>479</v>
      </c>
      <c r="M4" s="287" t="s">
        <v>478</v>
      </c>
      <c r="N4" s="287" t="s">
        <v>477</v>
      </c>
      <c r="O4" s="287" t="s">
        <v>476</v>
      </c>
      <c r="P4" s="287" t="s">
        <v>475</v>
      </c>
      <c r="Q4" s="287" t="s">
        <v>474</v>
      </c>
      <c r="R4" s="261" t="s">
        <v>473</v>
      </c>
      <c r="S4" s="266" t="s">
        <v>472</v>
      </c>
      <c r="T4" s="265" t="s">
        <v>273</v>
      </c>
      <c r="U4" s="264" t="s">
        <v>15</v>
      </c>
      <c r="V4" s="264" t="s">
        <v>432</v>
      </c>
      <c r="W4" s="261" t="s">
        <v>471</v>
      </c>
      <c r="X4" s="261" t="s">
        <v>470</v>
      </c>
      <c r="Y4" s="261" t="s">
        <v>469</v>
      </c>
      <c r="Z4" s="261" t="s">
        <v>468</v>
      </c>
      <c r="AA4" s="261" t="s">
        <v>467</v>
      </c>
      <c r="AB4" s="261" t="s">
        <v>466</v>
      </c>
      <c r="AC4" s="260" t="s">
        <v>465</v>
      </c>
    </row>
    <row r="5" spans="1:29" ht="15.6" x14ac:dyDescent="0.3">
      <c r="A5" s="284"/>
      <c r="B5" s="284"/>
      <c r="C5" s="256" t="s">
        <v>11</v>
      </c>
      <c r="D5" s="144" t="s">
        <v>94</v>
      </c>
      <c r="E5" s="285">
        <v>0.3</v>
      </c>
      <c r="F5" s="205" t="s">
        <v>206</v>
      </c>
      <c r="G5" s="286">
        <v>0.2</v>
      </c>
      <c r="H5" s="273" t="s">
        <v>11</v>
      </c>
      <c r="I5" s="144" t="s">
        <v>94</v>
      </c>
      <c r="J5" s="271" t="s">
        <v>222</v>
      </c>
      <c r="K5" s="273" t="s">
        <v>221</v>
      </c>
      <c r="L5" s="272" t="s">
        <v>111</v>
      </c>
      <c r="M5" s="272">
        <v>526.19000000000005</v>
      </c>
      <c r="N5" s="272">
        <v>140</v>
      </c>
      <c r="O5" s="272">
        <v>3199.4</v>
      </c>
      <c r="P5" s="277">
        <v>5439</v>
      </c>
      <c r="Q5" s="272">
        <v>105</v>
      </c>
      <c r="R5" s="274">
        <v>0.43</v>
      </c>
      <c r="S5" s="271" t="s">
        <v>111</v>
      </c>
      <c r="T5" s="273" t="s">
        <v>11</v>
      </c>
      <c r="U5" s="144" t="s">
        <v>94</v>
      </c>
      <c r="V5" s="273" t="s">
        <v>221</v>
      </c>
      <c r="W5" s="269">
        <v>30.599999999999998</v>
      </c>
      <c r="X5" s="269">
        <v>42.5</v>
      </c>
      <c r="Y5" s="269">
        <v>0</v>
      </c>
      <c r="Z5" s="269">
        <v>25.5</v>
      </c>
      <c r="AA5" s="269">
        <v>17</v>
      </c>
      <c r="AB5" s="269">
        <v>20.399999999999999</v>
      </c>
      <c r="AC5" s="269">
        <v>51</v>
      </c>
    </row>
    <row r="6" spans="1:29" ht="15.6" x14ac:dyDescent="0.3">
      <c r="A6" s="284"/>
      <c r="B6" s="284"/>
      <c r="C6" s="256" t="s">
        <v>11</v>
      </c>
      <c r="D6" s="144" t="s">
        <v>95</v>
      </c>
      <c r="E6" s="285">
        <v>0.28999999999999998</v>
      </c>
      <c r="F6" s="205" t="s">
        <v>193</v>
      </c>
      <c r="G6" s="286">
        <v>0.2</v>
      </c>
      <c r="H6" s="273" t="s">
        <v>11</v>
      </c>
      <c r="I6" s="144" t="s">
        <v>94</v>
      </c>
      <c r="J6" s="271" t="s">
        <v>222</v>
      </c>
      <c r="K6" s="273" t="s">
        <v>212</v>
      </c>
      <c r="L6" s="272" t="s">
        <v>111</v>
      </c>
      <c r="M6" s="272">
        <v>476.19</v>
      </c>
      <c r="N6" s="272">
        <v>120</v>
      </c>
      <c r="O6" s="272">
        <v>3057.01</v>
      </c>
      <c r="P6" s="272">
        <v>5000</v>
      </c>
      <c r="Q6" s="272">
        <v>0</v>
      </c>
      <c r="R6" s="274">
        <v>0</v>
      </c>
      <c r="S6" s="271" t="s">
        <v>111</v>
      </c>
      <c r="T6" s="273" t="s">
        <v>11</v>
      </c>
      <c r="U6" s="144" t="s">
        <v>94</v>
      </c>
      <c r="V6" s="273" t="s">
        <v>212</v>
      </c>
      <c r="W6" s="269">
        <v>30.599999999999998</v>
      </c>
      <c r="X6" s="269">
        <v>42.5</v>
      </c>
      <c r="Y6" s="269">
        <v>0</v>
      </c>
      <c r="Z6" s="269">
        <v>25.5</v>
      </c>
      <c r="AA6" s="269">
        <v>17</v>
      </c>
      <c r="AB6" s="269">
        <v>20.399999999999999</v>
      </c>
      <c r="AC6" s="269">
        <v>51</v>
      </c>
    </row>
    <row r="7" spans="1:29" ht="15.6" x14ac:dyDescent="0.3">
      <c r="A7" s="284"/>
      <c r="B7" s="284"/>
      <c r="C7" s="256" t="s">
        <v>11</v>
      </c>
      <c r="D7" s="144" t="s">
        <v>96</v>
      </c>
      <c r="E7" s="285">
        <v>0.28999999999999998</v>
      </c>
      <c r="F7" s="282"/>
      <c r="G7" s="281"/>
      <c r="H7" s="273" t="s">
        <v>11</v>
      </c>
      <c r="I7" s="144" t="s">
        <v>94</v>
      </c>
      <c r="J7" s="271" t="s">
        <v>222</v>
      </c>
      <c r="K7" s="273" t="s">
        <v>203</v>
      </c>
      <c r="L7" s="272" t="s">
        <v>111</v>
      </c>
      <c r="M7" s="272">
        <v>400</v>
      </c>
      <c r="N7" s="272">
        <v>120</v>
      </c>
      <c r="O7" s="272">
        <v>1800</v>
      </c>
      <c r="P7" s="272">
        <v>3600</v>
      </c>
      <c r="Q7" s="272">
        <v>600</v>
      </c>
      <c r="R7" s="274">
        <v>0</v>
      </c>
      <c r="S7" s="271" t="s">
        <v>111</v>
      </c>
      <c r="T7" s="273" t="s">
        <v>11</v>
      </c>
      <c r="U7" s="144" t="s">
        <v>94</v>
      </c>
      <c r="V7" s="273" t="s">
        <v>203</v>
      </c>
      <c r="W7" s="269">
        <v>30.599999999999998</v>
      </c>
      <c r="X7" s="269">
        <v>42.5</v>
      </c>
      <c r="Y7" s="269">
        <v>0</v>
      </c>
      <c r="Z7" s="269">
        <v>25.5</v>
      </c>
      <c r="AA7" s="269">
        <v>17</v>
      </c>
      <c r="AB7" s="269">
        <v>20.399999999999999</v>
      </c>
      <c r="AC7" s="269">
        <v>51</v>
      </c>
    </row>
    <row r="8" spans="1:29" ht="15.6" x14ac:dyDescent="0.3">
      <c r="A8" s="284"/>
      <c r="B8" s="284"/>
      <c r="C8" s="256" t="s">
        <v>11</v>
      </c>
      <c r="D8" s="144" t="s">
        <v>97</v>
      </c>
      <c r="E8" s="285">
        <v>0.28999999999999998</v>
      </c>
      <c r="F8" s="282"/>
      <c r="G8" s="281"/>
      <c r="H8" s="273" t="s">
        <v>11</v>
      </c>
      <c r="I8" s="144" t="s">
        <v>95</v>
      </c>
      <c r="J8" s="271" t="s">
        <v>222</v>
      </c>
      <c r="K8" s="273" t="s">
        <v>221</v>
      </c>
      <c r="L8" s="272" t="s">
        <v>111</v>
      </c>
      <c r="M8" s="272">
        <v>200</v>
      </c>
      <c r="N8" s="272">
        <v>37</v>
      </c>
      <c r="O8" s="272">
        <v>3710.55</v>
      </c>
      <c r="P8" s="272">
        <v>4081.6</v>
      </c>
      <c r="Q8" s="272">
        <v>200</v>
      </c>
      <c r="R8" s="272">
        <v>0.21</v>
      </c>
      <c r="S8" s="271" t="s">
        <v>111</v>
      </c>
      <c r="T8" s="273" t="s">
        <v>11</v>
      </c>
      <c r="U8" s="144" t="s">
        <v>95</v>
      </c>
      <c r="V8" s="273" t="s">
        <v>221</v>
      </c>
      <c r="W8" s="269">
        <v>39.6</v>
      </c>
      <c r="X8" s="269">
        <v>55</v>
      </c>
      <c r="Y8" s="269">
        <v>3</v>
      </c>
      <c r="Z8" s="269">
        <v>33</v>
      </c>
      <c r="AA8" s="269">
        <v>22</v>
      </c>
      <c r="AB8" s="269">
        <v>26.4</v>
      </c>
      <c r="AC8" s="269">
        <v>66</v>
      </c>
    </row>
    <row r="9" spans="1:29" ht="15.6" x14ac:dyDescent="0.3">
      <c r="A9" s="284"/>
      <c r="B9" s="284"/>
      <c r="C9" s="256" t="s">
        <v>11</v>
      </c>
      <c r="D9" s="144" t="s">
        <v>98</v>
      </c>
      <c r="E9" s="285">
        <v>0.28999999999999998</v>
      </c>
      <c r="F9" s="282"/>
      <c r="G9" s="281"/>
      <c r="H9" s="273" t="s">
        <v>11</v>
      </c>
      <c r="I9" s="144" t="s">
        <v>95</v>
      </c>
      <c r="J9" s="271" t="s">
        <v>222</v>
      </c>
      <c r="K9" s="273" t="s">
        <v>212</v>
      </c>
      <c r="L9" s="272" t="s">
        <v>111</v>
      </c>
      <c r="M9" s="272">
        <v>200</v>
      </c>
      <c r="N9" s="272">
        <v>42</v>
      </c>
      <c r="O9" s="272">
        <v>3279.44</v>
      </c>
      <c r="P9" s="272">
        <v>3607.4</v>
      </c>
      <c r="Q9" s="272">
        <v>300</v>
      </c>
      <c r="R9" s="272">
        <v>0</v>
      </c>
      <c r="S9" s="271" t="s">
        <v>111</v>
      </c>
      <c r="T9" s="273" t="s">
        <v>11</v>
      </c>
      <c r="U9" s="144" t="s">
        <v>95</v>
      </c>
      <c r="V9" s="273" t="s">
        <v>212</v>
      </c>
      <c r="W9" s="269">
        <v>39.6</v>
      </c>
      <c r="X9" s="269">
        <v>55</v>
      </c>
      <c r="Y9" s="269">
        <v>3</v>
      </c>
      <c r="Z9" s="269">
        <v>33</v>
      </c>
      <c r="AA9" s="269">
        <v>22</v>
      </c>
      <c r="AB9" s="269">
        <v>26.4</v>
      </c>
      <c r="AC9" s="269">
        <v>66</v>
      </c>
    </row>
    <row r="10" spans="1:29" ht="15.6" x14ac:dyDescent="0.3">
      <c r="A10" s="284"/>
      <c r="B10" s="284"/>
      <c r="C10" s="256" t="s">
        <v>11</v>
      </c>
      <c r="D10" s="144" t="s">
        <v>99</v>
      </c>
      <c r="E10" s="285">
        <v>0.28999999999999998</v>
      </c>
      <c r="F10" s="282"/>
      <c r="G10" s="281"/>
      <c r="H10" s="273" t="s">
        <v>11</v>
      </c>
      <c r="I10" s="144" t="s">
        <v>95</v>
      </c>
      <c r="J10" s="271" t="s">
        <v>222</v>
      </c>
      <c r="K10" s="273" t="s">
        <v>203</v>
      </c>
      <c r="L10" s="272" t="s">
        <v>111</v>
      </c>
      <c r="M10" s="272">
        <v>150</v>
      </c>
      <c r="N10" s="272">
        <v>50</v>
      </c>
      <c r="O10" s="272">
        <v>2847.83</v>
      </c>
      <c r="P10" s="272">
        <v>3132.6</v>
      </c>
      <c r="Q10" s="272">
        <v>500</v>
      </c>
      <c r="R10" s="272">
        <v>0</v>
      </c>
      <c r="S10" s="271" t="s">
        <v>111</v>
      </c>
      <c r="T10" s="273" t="s">
        <v>11</v>
      </c>
      <c r="U10" s="144" t="s">
        <v>95</v>
      </c>
      <c r="V10" s="273" t="s">
        <v>203</v>
      </c>
      <c r="W10" s="269">
        <v>39.6</v>
      </c>
      <c r="X10" s="269">
        <v>55</v>
      </c>
      <c r="Y10" s="269">
        <v>3</v>
      </c>
      <c r="Z10" s="269">
        <v>33</v>
      </c>
      <c r="AA10" s="269">
        <v>22</v>
      </c>
      <c r="AB10" s="269">
        <v>26.4</v>
      </c>
      <c r="AC10" s="269">
        <v>66</v>
      </c>
    </row>
    <row r="11" spans="1:29" ht="15.6" x14ac:dyDescent="0.3">
      <c r="A11" s="284"/>
      <c r="B11" s="284"/>
      <c r="C11" s="256" t="s">
        <v>11</v>
      </c>
      <c r="D11" s="144" t="s">
        <v>100</v>
      </c>
      <c r="E11" s="285">
        <v>0.28999999999999998</v>
      </c>
      <c r="F11" s="282"/>
      <c r="G11" s="281"/>
      <c r="H11" s="273" t="s">
        <v>11</v>
      </c>
      <c r="I11" s="144" t="s">
        <v>97</v>
      </c>
      <c r="J11" s="271" t="s">
        <v>222</v>
      </c>
      <c r="K11" s="273" t="s">
        <v>221</v>
      </c>
      <c r="L11" s="272" t="s">
        <v>111</v>
      </c>
      <c r="M11" s="272">
        <v>144</v>
      </c>
      <c r="N11" s="272">
        <v>18</v>
      </c>
      <c r="O11" s="272">
        <v>2937.48</v>
      </c>
      <c r="P11" s="272">
        <v>4993.7</v>
      </c>
      <c r="Q11" s="272">
        <v>300</v>
      </c>
      <c r="R11" s="272">
        <v>0</v>
      </c>
      <c r="S11" s="271" t="s">
        <v>111</v>
      </c>
      <c r="T11" s="273" t="s">
        <v>11</v>
      </c>
      <c r="U11" s="144" t="s">
        <v>96</v>
      </c>
      <c r="V11" s="273" t="s">
        <v>221</v>
      </c>
      <c r="W11" s="269">
        <v>18</v>
      </c>
      <c r="X11" s="269">
        <v>25</v>
      </c>
      <c r="Y11" s="269">
        <v>6</v>
      </c>
      <c r="Z11" s="269">
        <v>15</v>
      </c>
      <c r="AA11" s="269">
        <v>10</v>
      </c>
      <c r="AB11" s="269">
        <v>12</v>
      </c>
      <c r="AC11" s="269">
        <v>30</v>
      </c>
    </row>
    <row r="12" spans="1:29" ht="15.6" x14ac:dyDescent="0.3">
      <c r="A12" s="284"/>
      <c r="B12" s="284"/>
      <c r="C12" s="256" t="s">
        <v>12</v>
      </c>
      <c r="D12" s="144" t="s">
        <v>94</v>
      </c>
      <c r="E12" s="285">
        <v>0.3</v>
      </c>
      <c r="F12" s="282"/>
      <c r="G12" s="281"/>
      <c r="H12" s="273" t="s">
        <v>11</v>
      </c>
      <c r="I12" s="144" t="s">
        <v>97</v>
      </c>
      <c r="J12" s="271" t="s">
        <v>222</v>
      </c>
      <c r="K12" s="273" t="s">
        <v>212</v>
      </c>
      <c r="L12" s="272" t="s">
        <v>111</v>
      </c>
      <c r="M12" s="272">
        <v>225</v>
      </c>
      <c r="N12" s="272">
        <v>12</v>
      </c>
      <c r="O12" s="272">
        <v>2239.87</v>
      </c>
      <c r="P12" s="272">
        <v>3807.8</v>
      </c>
      <c r="Q12" s="272">
        <v>350</v>
      </c>
      <c r="R12" s="272">
        <v>0</v>
      </c>
      <c r="S12" s="271" t="s">
        <v>111</v>
      </c>
      <c r="T12" s="273" t="s">
        <v>11</v>
      </c>
      <c r="U12" s="144" t="s">
        <v>96</v>
      </c>
      <c r="V12" s="273" t="s">
        <v>212</v>
      </c>
      <c r="W12" s="269">
        <v>18</v>
      </c>
      <c r="X12" s="269">
        <v>25</v>
      </c>
      <c r="Y12" s="269">
        <v>6</v>
      </c>
      <c r="Z12" s="269">
        <v>15</v>
      </c>
      <c r="AA12" s="269">
        <v>10</v>
      </c>
      <c r="AB12" s="269">
        <v>12</v>
      </c>
      <c r="AC12" s="269">
        <v>30</v>
      </c>
    </row>
    <row r="13" spans="1:29" ht="15.6" x14ac:dyDescent="0.3">
      <c r="A13" s="284"/>
      <c r="B13" s="284"/>
      <c r="C13" s="256" t="s">
        <v>12</v>
      </c>
      <c r="D13" s="144" t="s">
        <v>95</v>
      </c>
      <c r="E13" s="285">
        <v>0.28999999999999998</v>
      </c>
      <c r="F13" s="282"/>
      <c r="G13" s="281"/>
      <c r="H13" s="273" t="s">
        <v>11</v>
      </c>
      <c r="I13" s="144" t="s">
        <v>97</v>
      </c>
      <c r="J13" s="271" t="s">
        <v>222</v>
      </c>
      <c r="K13" s="273" t="s">
        <v>203</v>
      </c>
      <c r="L13" s="272" t="s">
        <v>111</v>
      </c>
      <c r="M13" s="272">
        <v>225</v>
      </c>
      <c r="N13" s="272">
        <v>12</v>
      </c>
      <c r="O13" s="272">
        <v>2239.87</v>
      </c>
      <c r="P13" s="272">
        <v>3807.8</v>
      </c>
      <c r="Q13" s="272">
        <v>350</v>
      </c>
      <c r="R13" s="272">
        <v>0</v>
      </c>
      <c r="S13" s="271" t="s">
        <v>111</v>
      </c>
      <c r="T13" s="273" t="s">
        <v>11</v>
      </c>
      <c r="U13" s="144" t="s">
        <v>96</v>
      </c>
      <c r="V13" s="273" t="s">
        <v>203</v>
      </c>
      <c r="W13" s="269">
        <v>18</v>
      </c>
      <c r="X13" s="269">
        <v>25</v>
      </c>
      <c r="Y13" s="269">
        <v>18</v>
      </c>
      <c r="Z13" s="269">
        <v>15</v>
      </c>
      <c r="AA13" s="269">
        <v>10</v>
      </c>
      <c r="AB13" s="269">
        <v>12</v>
      </c>
      <c r="AC13" s="269">
        <v>30</v>
      </c>
    </row>
    <row r="14" spans="1:29" ht="15.6" x14ac:dyDescent="0.3">
      <c r="A14" s="284"/>
      <c r="B14" s="284"/>
      <c r="C14" s="256" t="s">
        <v>12</v>
      </c>
      <c r="D14" s="144" t="s">
        <v>96</v>
      </c>
      <c r="E14" s="285">
        <v>0.28999999999999998</v>
      </c>
      <c r="F14" s="282"/>
      <c r="G14" s="281"/>
      <c r="H14" s="273" t="s">
        <v>11</v>
      </c>
      <c r="I14" s="144" t="s">
        <v>96</v>
      </c>
      <c r="J14" s="271" t="s">
        <v>222</v>
      </c>
      <c r="K14" s="273" t="s">
        <v>221</v>
      </c>
      <c r="L14" s="272" t="s">
        <v>111</v>
      </c>
      <c r="M14" s="272">
        <v>150</v>
      </c>
      <c r="N14" s="272">
        <v>37</v>
      </c>
      <c r="O14" s="275">
        <v>4300</v>
      </c>
      <c r="P14" s="144">
        <v>4730</v>
      </c>
      <c r="Q14" s="144">
        <v>150</v>
      </c>
      <c r="R14" s="274">
        <v>0</v>
      </c>
      <c r="S14" s="271" t="s">
        <v>111</v>
      </c>
      <c r="T14" s="273" t="s">
        <v>11</v>
      </c>
      <c r="U14" s="144" t="s">
        <v>97</v>
      </c>
      <c r="V14" s="273" t="s">
        <v>221</v>
      </c>
      <c r="W14" s="269">
        <v>32.4</v>
      </c>
      <c r="X14" s="269">
        <v>45</v>
      </c>
      <c r="Y14" s="269">
        <v>20</v>
      </c>
      <c r="Z14" s="269">
        <v>27</v>
      </c>
      <c r="AA14" s="269">
        <v>18</v>
      </c>
      <c r="AB14" s="269">
        <v>21.599999999999998</v>
      </c>
      <c r="AC14" s="269">
        <v>54</v>
      </c>
    </row>
    <row r="15" spans="1:29" ht="15.6" x14ac:dyDescent="0.3">
      <c r="A15" s="284"/>
      <c r="B15" s="284"/>
      <c r="C15" s="256" t="s">
        <v>12</v>
      </c>
      <c r="D15" s="144" t="s">
        <v>97</v>
      </c>
      <c r="E15" s="285">
        <v>0.28999999999999998</v>
      </c>
      <c r="F15" s="282"/>
      <c r="G15" s="281"/>
      <c r="H15" s="273" t="s">
        <v>11</v>
      </c>
      <c r="I15" s="144" t="s">
        <v>96</v>
      </c>
      <c r="J15" s="271" t="s">
        <v>222</v>
      </c>
      <c r="K15" s="273" t="s">
        <v>212</v>
      </c>
      <c r="L15" s="272" t="s">
        <v>111</v>
      </c>
      <c r="M15" s="272">
        <v>100</v>
      </c>
      <c r="N15" s="272">
        <v>42</v>
      </c>
      <c r="O15" s="275">
        <v>4000</v>
      </c>
      <c r="P15" s="144">
        <v>4400</v>
      </c>
      <c r="Q15" s="144">
        <v>250</v>
      </c>
      <c r="R15" s="274">
        <v>0</v>
      </c>
      <c r="S15" s="271" t="s">
        <v>111</v>
      </c>
      <c r="T15" s="273" t="s">
        <v>11</v>
      </c>
      <c r="U15" s="144" t="s">
        <v>97</v>
      </c>
      <c r="V15" s="273" t="s">
        <v>212</v>
      </c>
      <c r="W15" s="269">
        <v>32.4</v>
      </c>
      <c r="X15" s="269">
        <v>45</v>
      </c>
      <c r="Y15" s="269">
        <v>20</v>
      </c>
      <c r="Z15" s="269">
        <v>27</v>
      </c>
      <c r="AA15" s="269">
        <v>18</v>
      </c>
      <c r="AB15" s="269">
        <v>21.599999999999998</v>
      </c>
      <c r="AC15" s="269">
        <v>54</v>
      </c>
    </row>
    <row r="16" spans="1:29" ht="15.6" x14ac:dyDescent="0.3">
      <c r="A16" s="284"/>
      <c r="B16" s="284"/>
      <c r="C16" s="256" t="s">
        <v>12</v>
      </c>
      <c r="D16" s="144" t="s">
        <v>98</v>
      </c>
      <c r="E16" s="285">
        <v>0.28999999999999998</v>
      </c>
      <c r="F16" s="282"/>
      <c r="G16" s="281"/>
      <c r="H16" s="273" t="s">
        <v>11</v>
      </c>
      <c r="I16" s="144" t="s">
        <v>96</v>
      </c>
      <c r="J16" s="271" t="s">
        <v>222</v>
      </c>
      <c r="K16" s="273" t="s">
        <v>203</v>
      </c>
      <c r="L16" s="272" t="s">
        <v>111</v>
      </c>
      <c r="M16" s="272">
        <v>100</v>
      </c>
      <c r="N16" s="272">
        <v>50</v>
      </c>
      <c r="O16" s="275">
        <v>3900</v>
      </c>
      <c r="P16" s="144">
        <v>4290</v>
      </c>
      <c r="Q16" s="144">
        <v>350</v>
      </c>
      <c r="R16" s="274">
        <v>0</v>
      </c>
      <c r="S16" s="271" t="s">
        <v>111</v>
      </c>
      <c r="T16" s="273" t="s">
        <v>11</v>
      </c>
      <c r="U16" s="144" t="s">
        <v>97</v>
      </c>
      <c r="V16" s="273" t="s">
        <v>203</v>
      </c>
      <c r="W16" s="269">
        <v>32.4</v>
      </c>
      <c r="X16" s="269">
        <v>45</v>
      </c>
      <c r="Y16" s="269">
        <v>20</v>
      </c>
      <c r="Z16" s="269">
        <v>27</v>
      </c>
      <c r="AA16" s="269">
        <v>18</v>
      </c>
      <c r="AB16" s="269">
        <v>21.599999999999998</v>
      </c>
      <c r="AC16" s="269">
        <v>54</v>
      </c>
    </row>
    <row r="17" spans="1:29" ht="15.6" x14ac:dyDescent="0.3">
      <c r="A17" s="284"/>
      <c r="B17" s="284"/>
      <c r="C17" s="256" t="s">
        <v>12</v>
      </c>
      <c r="D17" s="144" t="s">
        <v>99</v>
      </c>
      <c r="E17" s="285">
        <v>0.28999999999999998</v>
      </c>
      <c r="F17" s="282"/>
      <c r="G17" s="281"/>
      <c r="H17" s="280" t="s">
        <v>12</v>
      </c>
      <c r="I17" s="144" t="s">
        <v>94</v>
      </c>
      <c r="J17" s="271" t="s">
        <v>222</v>
      </c>
      <c r="K17" s="273" t="s">
        <v>221</v>
      </c>
      <c r="L17" s="272" t="s">
        <v>111</v>
      </c>
      <c r="M17" s="272">
        <v>526.19000000000005</v>
      </c>
      <c r="N17" s="272">
        <v>140</v>
      </c>
      <c r="O17" s="272">
        <v>3199.4</v>
      </c>
      <c r="P17" s="277">
        <v>5439</v>
      </c>
      <c r="Q17" s="272">
        <v>105</v>
      </c>
      <c r="R17" s="274">
        <v>0</v>
      </c>
      <c r="S17" s="271" t="s">
        <v>111</v>
      </c>
      <c r="T17" s="273" t="s">
        <v>12</v>
      </c>
      <c r="U17" s="144" t="s">
        <v>94</v>
      </c>
      <c r="V17" s="273" t="s">
        <v>221</v>
      </c>
      <c r="W17" s="269">
        <v>30.599999999999998</v>
      </c>
      <c r="X17" s="269">
        <v>42.5</v>
      </c>
      <c r="Y17" s="269">
        <v>0</v>
      </c>
      <c r="Z17" s="269">
        <v>25.5</v>
      </c>
      <c r="AA17" s="269">
        <v>17</v>
      </c>
      <c r="AB17" s="269">
        <v>20.399999999999999</v>
      </c>
      <c r="AC17" s="269">
        <v>51</v>
      </c>
    </row>
    <row r="18" spans="1:29" ht="15.6" x14ac:dyDescent="0.3">
      <c r="A18" s="284"/>
      <c r="B18" s="284"/>
      <c r="C18" s="256" t="s">
        <v>12</v>
      </c>
      <c r="D18" s="144" t="s">
        <v>100</v>
      </c>
      <c r="E18" s="285">
        <v>0.28999999999999998</v>
      </c>
      <c r="F18" s="282"/>
      <c r="G18" s="281"/>
      <c r="H18" s="280" t="s">
        <v>12</v>
      </c>
      <c r="I18" s="144" t="s">
        <v>94</v>
      </c>
      <c r="J18" s="271" t="s">
        <v>222</v>
      </c>
      <c r="K18" s="273" t="s">
        <v>212</v>
      </c>
      <c r="L18" s="272" t="s">
        <v>111</v>
      </c>
      <c r="M18" s="272">
        <v>476.19</v>
      </c>
      <c r="N18" s="272">
        <v>120</v>
      </c>
      <c r="O18" s="272">
        <v>3057.01</v>
      </c>
      <c r="P18" s="272">
        <v>5000</v>
      </c>
      <c r="Q18" s="272">
        <v>0</v>
      </c>
      <c r="R18" s="279">
        <v>0.35</v>
      </c>
      <c r="S18" s="271" t="s">
        <v>111</v>
      </c>
      <c r="T18" s="273" t="s">
        <v>12</v>
      </c>
      <c r="U18" s="144" t="s">
        <v>94</v>
      </c>
      <c r="V18" s="273" t="s">
        <v>212</v>
      </c>
      <c r="W18" s="269">
        <v>30.599999999999998</v>
      </c>
      <c r="X18" s="269">
        <v>42.5</v>
      </c>
      <c r="Y18" s="269">
        <v>0</v>
      </c>
      <c r="Z18" s="269">
        <v>25.5</v>
      </c>
      <c r="AA18" s="269">
        <v>17</v>
      </c>
      <c r="AB18" s="269">
        <v>20.399999999999999</v>
      </c>
      <c r="AC18" s="269">
        <v>51</v>
      </c>
    </row>
    <row r="19" spans="1:29" ht="15.6" x14ac:dyDescent="0.3">
      <c r="A19" s="284"/>
      <c r="B19" s="284"/>
      <c r="C19" s="283" t="s">
        <v>271</v>
      </c>
      <c r="D19" s="144" t="s">
        <v>94</v>
      </c>
      <c r="E19" s="285">
        <v>0.28999999999999998</v>
      </c>
      <c r="F19" s="282"/>
      <c r="G19" s="281"/>
      <c r="H19" s="280" t="s">
        <v>12</v>
      </c>
      <c r="I19" s="144" t="s">
        <v>94</v>
      </c>
      <c r="J19" s="271" t="s">
        <v>222</v>
      </c>
      <c r="K19" s="273" t="s">
        <v>203</v>
      </c>
      <c r="L19" s="272" t="s">
        <v>111</v>
      </c>
      <c r="M19" s="272">
        <v>400</v>
      </c>
      <c r="N19" s="272">
        <v>120</v>
      </c>
      <c r="O19" s="272">
        <v>1800</v>
      </c>
      <c r="P19" s="272">
        <v>3600</v>
      </c>
      <c r="Q19" s="272">
        <v>600</v>
      </c>
      <c r="R19" s="279">
        <v>0</v>
      </c>
      <c r="S19" s="271" t="s">
        <v>111</v>
      </c>
      <c r="T19" s="273" t="s">
        <v>12</v>
      </c>
      <c r="U19" s="144" t="s">
        <v>94</v>
      </c>
      <c r="V19" s="273" t="s">
        <v>203</v>
      </c>
      <c r="W19" s="269">
        <v>30.599999999999998</v>
      </c>
      <c r="X19" s="269">
        <v>42.5</v>
      </c>
      <c r="Y19" s="269">
        <v>0</v>
      </c>
      <c r="Z19" s="269">
        <v>25.5</v>
      </c>
      <c r="AA19" s="269">
        <v>17</v>
      </c>
      <c r="AB19" s="269">
        <v>20.399999999999999</v>
      </c>
      <c r="AC19" s="269">
        <v>51</v>
      </c>
    </row>
    <row r="20" spans="1:29" ht="15.6" x14ac:dyDescent="0.3">
      <c r="A20" s="284"/>
      <c r="B20" s="284"/>
      <c r="C20" s="283" t="s">
        <v>271</v>
      </c>
      <c r="D20" s="144" t="s">
        <v>95</v>
      </c>
      <c r="E20" s="285">
        <v>0.28999999999999998</v>
      </c>
      <c r="F20" s="282"/>
      <c r="G20" s="281"/>
      <c r="H20" s="280" t="s">
        <v>12</v>
      </c>
      <c r="I20" s="144" t="s">
        <v>95</v>
      </c>
      <c r="J20" s="271" t="s">
        <v>222</v>
      </c>
      <c r="K20" s="273" t="s">
        <v>221</v>
      </c>
      <c r="L20" s="272" t="s">
        <v>111</v>
      </c>
      <c r="M20" s="272">
        <v>200</v>
      </c>
      <c r="N20" s="272">
        <v>37</v>
      </c>
      <c r="O20" s="272">
        <v>3710.55</v>
      </c>
      <c r="P20" s="272">
        <v>4081.6</v>
      </c>
      <c r="Q20" s="272">
        <v>200</v>
      </c>
      <c r="R20" s="279">
        <v>0</v>
      </c>
      <c r="S20" s="271" t="s">
        <v>111</v>
      </c>
      <c r="T20" s="273" t="s">
        <v>12</v>
      </c>
      <c r="U20" s="144" t="s">
        <v>95</v>
      </c>
      <c r="V20" s="273" t="s">
        <v>221</v>
      </c>
      <c r="W20" s="269">
        <v>39.6</v>
      </c>
      <c r="X20" s="269">
        <v>55</v>
      </c>
      <c r="Y20" s="269">
        <v>3</v>
      </c>
      <c r="Z20" s="269">
        <v>33</v>
      </c>
      <c r="AA20" s="269">
        <v>22</v>
      </c>
      <c r="AB20" s="269">
        <v>26.4</v>
      </c>
      <c r="AC20" s="269">
        <v>66</v>
      </c>
    </row>
    <row r="21" spans="1:29" ht="15.6" x14ac:dyDescent="0.3">
      <c r="A21" s="284"/>
      <c r="B21" s="284"/>
      <c r="C21" s="283" t="s">
        <v>271</v>
      </c>
      <c r="D21" s="144" t="s">
        <v>96</v>
      </c>
      <c r="E21" s="285">
        <v>0.28999999999999998</v>
      </c>
      <c r="F21" s="282"/>
      <c r="G21" s="281"/>
      <c r="H21" s="280" t="s">
        <v>12</v>
      </c>
      <c r="I21" s="144" t="s">
        <v>95</v>
      </c>
      <c r="J21" s="271" t="s">
        <v>222</v>
      </c>
      <c r="K21" s="273" t="s">
        <v>212</v>
      </c>
      <c r="L21" s="272" t="s">
        <v>111</v>
      </c>
      <c r="M21" s="272">
        <v>200</v>
      </c>
      <c r="N21" s="272">
        <v>42</v>
      </c>
      <c r="O21" s="272">
        <v>3279.44</v>
      </c>
      <c r="P21" s="272">
        <v>3607.4</v>
      </c>
      <c r="Q21" s="272">
        <v>300</v>
      </c>
      <c r="R21" s="279">
        <v>0.21</v>
      </c>
      <c r="S21" s="271" t="s">
        <v>111</v>
      </c>
      <c r="T21" s="273" t="s">
        <v>12</v>
      </c>
      <c r="U21" s="144" t="s">
        <v>95</v>
      </c>
      <c r="V21" s="273" t="s">
        <v>212</v>
      </c>
      <c r="W21" s="269">
        <v>39.6</v>
      </c>
      <c r="X21" s="269">
        <v>55</v>
      </c>
      <c r="Y21" s="269">
        <v>3</v>
      </c>
      <c r="Z21" s="269">
        <v>33</v>
      </c>
      <c r="AA21" s="269">
        <v>22</v>
      </c>
      <c r="AB21" s="269">
        <v>26.4</v>
      </c>
      <c r="AC21" s="269">
        <v>66</v>
      </c>
    </row>
    <row r="22" spans="1:29" ht="15.6" x14ac:dyDescent="0.3">
      <c r="A22" s="284"/>
      <c r="B22" s="284"/>
      <c r="C22" s="283" t="s">
        <v>271</v>
      </c>
      <c r="D22" s="144" t="s">
        <v>97</v>
      </c>
      <c r="E22" s="285">
        <v>0.28999999999999998</v>
      </c>
      <c r="F22" s="282"/>
      <c r="G22" s="281"/>
      <c r="H22" s="280" t="s">
        <v>12</v>
      </c>
      <c r="I22" s="144" t="s">
        <v>95</v>
      </c>
      <c r="J22" s="271" t="s">
        <v>222</v>
      </c>
      <c r="K22" s="273" t="s">
        <v>203</v>
      </c>
      <c r="L22" s="272" t="s">
        <v>111</v>
      </c>
      <c r="M22" s="272">
        <v>150</v>
      </c>
      <c r="N22" s="272">
        <v>50</v>
      </c>
      <c r="O22" s="272">
        <v>2847.83</v>
      </c>
      <c r="P22" s="272">
        <v>3132.6</v>
      </c>
      <c r="Q22" s="272">
        <v>500</v>
      </c>
      <c r="R22" s="279">
        <v>0</v>
      </c>
      <c r="S22" s="271" t="s">
        <v>111</v>
      </c>
      <c r="T22" s="273" t="s">
        <v>12</v>
      </c>
      <c r="U22" s="144" t="s">
        <v>95</v>
      </c>
      <c r="V22" s="273" t="s">
        <v>203</v>
      </c>
      <c r="W22" s="269">
        <v>39.6</v>
      </c>
      <c r="X22" s="269">
        <v>55</v>
      </c>
      <c r="Y22" s="269">
        <v>3</v>
      </c>
      <c r="Z22" s="269">
        <v>33</v>
      </c>
      <c r="AA22" s="269">
        <v>22</v>
      </c>
      <c r="AB22" s="269">
        <v>26.4</v>
      </c>
      <c r="AC22" s="269">
        <v>66</v>
      </c>
    </row>
    <row r="23" spans="1:29" ht="15.6" x14ac:dyDescent="0.3">
      <c r="A23" s="284"/>
      <c r="B23" s="284"/>
      <c r="C23" s="283" t="s">
        <v>271</v>
      </c>
      <c r="D23" s="144" t="s">
        <v>98</v>
      </c>
      <c r="E23" s="285">
        <v>0.28999999999999998</v>
      </c>
      <c r="F23" s="282"/>
      <c r="G23" s="281"/>
      <c r="H23" s="280" t="s">
        <v>12</v>
      </c>
      <c r="I23" s="144" t="s">
        <v>96</v>
      </c>
      <c r="J23" s="271" t="s">
        <v>222</v>
      </c>
      <c r="K23" s="273" t="s">
        <v>221</v>
      </c>
      <c r="L23" s="276" t="s">
        <v>111</v>
      </c>
      <c r="M23" s="276">
        <v>285</v>
      </c>
      <c r="N23" s="276">
        <v>57</v>
      </c>
      <c r="O23" s="276">
        <v>5952.38</v>
      </c>
      <c r="P23" s="276">
        <v>0</v>
      </c>
      <c r="Q23" s="276">
        <v>400</v>
      </c>
      <c r="R23" s="279">
        <v>0.2</v>
      </c>
      <c r="S23" s="271" t="s">
        <v>111</v>
      </c>
      <c r="T23" s="273" t="s">
        <v>12</v>
      </c>
      <c r="U23" s="144" t="s">
        <v>96</v>
      </c>
      <c r="V23" s="273" t="s">
        <v>221</v>
      </c>
      <c r="W23" s="269">
        <v>18</v>
      </c>
      <c r="X23" s="269">
        <v>25</v>
      </c>
      <c r="Y23" s="269">
        <v>6</v>
      </c>
      <c r="Z23" s="269">
        <v>15</v>
      </c>
      <c r="AA23" s="269">
        <v>10</v>
      </c>
      <c r="AB23" s="269">
        <v>12</v>
      </c>
      <c r="AC23" s="269">
        <v>30</v>
      </c>
    </row>
    <row r="24" spans="1:29" ht="15.6" x14ac:dyDescent="0.3">
      <c r="A24" s="284"/>
      <c r="B24" s="284"/>
      <c r="C24" s="283" t="s">
        <v>271</v>
      </c>
      <c r="D24" s="144" t="s">
        <v>99</v>
      </c>
      <c r="E24" s="285">
        <v>0.28999999999999998</v>
      </c>
      <c r="F24" s="282"/>
      <c r="G24" s="281"/>
      <c r="H24" s="280" t="s">
        <v>12</v>
      </c>
      <c r="I24" s="144" t="s">
        <v>96</v>
      </c>
      <c r="J24" s="271" t="s">
        <v>222</v>
      </c>
      <c r="K24" s="273" t="s">
        <v>212</v>
      </c>
      <c r="L24" s="276" t="s">
        <v>111</v>
      </c>
      <c r="M24" s="276">
        <v>140</v>
      </c>
      <c r="N24" s="276">
        <v>57</v>
      </c>
      <c r="O24" s="276">
        <v>4761.8999999999996</v>
      </c>
      <c r="P24" s="276">
        <v>0</v>
      </c>
      <c r="Q24" s="276">
        <v>100</v>
      </c>
      <c r="R24" s="279">
        <v>0</v>
      </c>
      <c r="S24" s="271" t="s">
        <v>111</v>
      </c>
      <c r="T24" s="273" t="s">
        <v>12</v>
      </c>
      <c r="U24" s="144" t="s">
        <v>96</v>
      </c>
      <c r="V24" s="273" t="s">
        <v>212</v>
      </c>
      <c r="W24" s="269">
        <v>18</v>
      </c>
      <c r="X24" s="269">
        <v>25</v>
      </c>
      <c r="Y24" s="269">
        <v>6</v>
      </c>
      <c r="Z24" s="269">
        <v>15</v>
      </c>
      <c r="AA24" s="269">
        <v>10</v>
      </c>
      <c r="AB24" s="269">
        <v>12</v>
      </c>
      <c r="AC24" s="269">
        <v>30</v>
      </c>
    </row>
    <row r="25" spans="1:29" ht="15.6" x14ac:dyDescent="0.3">
      <c r="A25" s="284"/>
      <c r="B25" s="284"/>
      <c r="C25" s="283" t="s">
        <v>271</v>
      </c>
      <c r="D25" s="144" t="s">
        <v>100</v>
      </c>
      <c r="E25" s="285">
        <v>0.28999999999999998</v>
      </c>
      <c r="F25" s="282"/>
      <c r="G25" s="281"/>
      <c r="H25" s="280" t="s">
        <v>12</v>
      </c>
      <c r="I25" s="144" t="s">
        <v>96</v>
      </c>
      <c r="J25" s="271" t="s">
        <v>222</v>
      </c>
      <c r="K25" s="273" t="s">
        <v>203</v>
      </c>
      <c r="L25" s="276" t="s">
        <v>111</v>
      </c>
      <c r="M25" s="276">
        <v>140</v>
      </c>
      <c r="N25" s="276">
        <v>57</v>
      </c>
      <c r="O25" s="276">
        <v>4761.8999999999996</v>
      </c>
      <c r="P25" s="276">
        <v>0</v>
      </c>
      <c r="Q25" s="276">
        <v>100</v>
      </c>
      <c r="R25" s="279">
        <v>0</v>
      </c>
      <c r="S25" s="271" t="s">
        <v>111</v>
      </c>
      <c r="T25" s="273" t="s">
        <v>12</v>
      </c>
      <c r="U25" s="144" t="s">
        <v>96</v>
      </c>
      <c r="V25" s="273" t="s">
        <v>203</v>
      </c>
      <c r="W25" s="269">
        <v>18</v>
      </c>
      <c r="X25" s="269">
        <v>25</v>
      </c>
      <c r="Y25" s="269">
        <v>18</v>
      </c>
      <c r="Z25" s="269">
        <v>15</v>
      </c>
      <c r="AA25" s="269">
        <v>10</v>
      </c>
      <c r="AB25" s="269">
        <v>12</v>
      </c>
      <c r="AC25" s="269">
        <v>30</v>
      </c>
    </row>
    <row r="26" spans="1:29" ht="15.6" x14ac:dyDescent="0.3">
      <c r="A26" s="284"/>
      <c r="B26" s="284"/>
      <c r="C26" s="283" t="s">
        <v>270</v>
      </c>
      <c r="D26" s="144" t="s">
        <v>94</v>
      </c>
      <c r="E26" s="285">
        <v>0.28999999999999998</v>
      </c>
      <c r="F26" s="282"/>
      <c r="G26" s="281"/>
      <c r="H26" s="280" t="s">
        <v>12</v>
      </c>
      <c r="I26" s="144" t="s">
        <v>97</v>
      </c>
      <c r="J26" s="271" t="s">
        <v>222</v>
      </c>
      <c r="K26" s="273" t="s">
        <v>221</v>
      </c>
      <c r="L26" s="272" t="s">
        <v>111</v>
      </c>
      <c r="M26" s="272">
        <v>144</v>
      </c>
      <c r="N26" s="272">
        <v>18</v>
      </c>
      <c r="O26" s="272">
        <v>2937.48</v>
      </c>
      <c r="P26" s="272">
        <v>4993.7</v>
      </c>
      <c r="Q26" s="272">
        <v>300</v>
      </c>
      <c r="R26" s="279">
        <v>0.17</v>
      </c>
      <c r="S26" s="271" t="s">
        <v>111</v>
      </c>
      <c r="T26" s="273" t="s">
        <v>12</v>
      </c>
      <c r="U26" s="144" t="s">
        <v>97</v>
      </c>
      <c r="V26" s="273" t="s">
        <v>221</v>
      </c>
      <c r="W26" s="269">
        <v>32.4</v>
      </c>
      <c r="X26" s="269">
        <v>45</v>
      </c>
      <c r="Y26" s="269">
        <v>20</v>
      </c>
      <c r="Z26" s="269">
        <v>27</v>
      </c>
      <c r="AA26" s="269">
        <v>18</v>
      </c>
      <c r="AB26" s="269">
        <v>21.599999999999998</v>
      </c>
      <c r="AC26" s="269">
        <v>54</v>
      </c>
    </row>
    <row r="27" spans="1:29" ht="15.6" x14ac:dyDescent="0.3">
      <c r="A27" s="284"/>
      <c r="B27" s="284"/>
      <c r="C27" s="283" t="s">
        <v>270</v>
      </c>
      <c r="D27" s="144" t="s">
        <v>95</v>
      </c>
      <c r="E27" s="285">
        <v>0.28999999999999998</v>
      </c>
      <c r="F27" s="282"/>
      <c r="G27" s="281"/>
      <c r="H27" s="280" t="s">
        <v>12</v>
      </c>
      <c r="I27" s="144" t="s">
        <v>97</v>
      </c>
      <c r="J27" s="271" t="s">
        <v>222</v>
      </c>
      <c r="K27" s="273" t="s">
        <v>212</v>
      </c>
      <c r="L27" s="272" t="s">
        <v>111</v>
      </c>
      <c r="M27" s="272">
        <v>225</v>
      </c>
      <c r="N27" s="272">
        <v>12</v>
      </c>
      <c r="O27" s="272">
        <v>2239.87</v>
      </c>
      <c r="P27" s="272">
        <v>3807.8</v>
      </c>
      <c r="Q27" s="272">
        <v>350</v>
      </c>
      <c r="R27" s="279">
        <v>0</v>
      </c>
      <c r="S27" s="271" t="s">
        <v>111</v>
      </c>
      <c r="T27" s="273" t="s">
        <v>12</v>
      </c>
      <c r="U27" s="144" t="s">
        <v>97</v>
      </c>
      <c r="V27" s="273" t="s">
        <v>212</v>
      </c>
      <c r="W27" s="269">
        <v>32.4</v>
      </c>
      <c r="X27" s="269">
        <v>45</v>
      </c>
      <c r="Y27" s="269">
        <v>20</v>
      </c>
      <c r="Z27" s="269">
        <v>27</v>
      </c>
      <c r="AA27" s="269">
        <v>18</v>
      </c>
      <c r="AB27" s="269">
        <v>21.599999999999998</v>
      </c>
      <c r="AC27" s="269">
        <v>54</v>
      </c>
    </row>
    <row r="28" spans="1:29" ht="15.6" x14ac:dyDescent="0.3">
      <c r="A28" s="284"/>
      <c r="B28" s="284"/>
      <c r="C28" s="283" t="s">
        <v>270</v>
      </c>
      <c r="D28" s="144" t="s">
        <v>96</v>
      </c>
      <c r="E28" s="285">
        <v>0.28999999999999998</v>
      </c>
      <c r="F28" s="282"/>
      <c r="G28" s="281"/>
      <c r="H28" s="280" t="s">
        <v>12</v>
      </c>
      <c r="I28" s="144" t="s">
        <v>97</v>
      </c>
      <c r="J28" s="271" t="s">
        <v>222</v>
      </c>
      <c r="K28" s="273" t="s">
        <v>203</v>
      </c>
      <c r="L28" s="272" t="s">
        <v>111</v>
      </c>
      <c r="M28" s="272">
        <v>225</v>
      </c>
      <c r="N28" s="272">
        <v>12</v>
      </c>
      <c r="O28" s="272">
        <v>2239.87</v>
      </c>
      <c r="P28" s="272">
        <v>3807.8</v>
      </c>
      <c r="Q28" s="272">
        <v>350</v>
      </c>
      <c r="R28" s="279">
        <v>0</v>
      </c>
      <c r="S28" s="271" t="s">
        <v>111</v>
      </c>
      <c r="T28" s="273" t="s">
        <v>12</v>
      </c>
      <c r="U28" s="144" t="s">
        <v>97</v>
      </c>
      <c r="V28" s="273" t="s">
        <v>203</v>
      </c>
      <c r="W28" s="269">
        <v>32.4</v>
      </c>
      <c r="X28" s="269">
        <v>45</v>
      </c>
      <c r="Y28" s="269">
        <v>20</v>
      </c>
      <c r="Z28" s="269">
        <v>27</v>
      </c>
      <c r="AA28" s="269">
        <v>18</v>
      </c>
      <c r="AB28" s="269">
        <v>21.599999999999998</v>
      </c>
      <c r="AC28" s="269">
        <v>54</v>
      </c>
    </row>
    <row r="29" spans="1:29" ht="15.6" x14ac:dyDescent="0.3">
      <c r="A29" s="284"/>
      <c r="B29" s="284"/>
      <c r="C29" s="283" t="s">
        <v>270</v>
      </c>
      <c r="D29" s="144" t="s">
        <v>97</v>
      </c>
      <c r="E29" s="285">
        <v>0.28999999999999998</v>
      </c>
      <c r="F29" s="282"/>
      <c r="G29" s="281"/>
      <c r="H29" s="273" t="s">
        <v>271</v>
      </c>
      <c r="I29" s="144" t="s">
        <v>94</v>
      </c>
      <c r="J29" s="271" t="s">
        <v>222</v>
      </c>
      <c r="K29" s="273" t="s">
        <v>221</v>
      </c>
      <c r="L29" s="272" t="s">
        <v>111</v>
      </c>
      <c r="M29" s="272">
        <v>526.19000000000005</v>
      </c>
      <c r="N29" s="272">
        <v>140</v>
      </c>
      <c r="O29" s="272">
        <v>3199.4</v>
      </c>
      <c r="P29" s="277">
        <v>5439</v>
      </c>
      <c r="Q29" s="272">
        <v>105</v>
      </c>
      <c r="R29" s="279">
        <v>0</v>
      </c>
      <c r="S29" s="271" t="s">
        <v>111</v>
      </c>
      <c r="T29" s="273" t="s">
        <v>271</v>
      </c>
      <c r="U29" s="144" t="s">
        <v>94</v>
      </c>
      <c r="V29" s="273" t="s">
        <v>221</v>
      </c>
      <c r="W29" s="269">
        <v>30.599999999999998</v>
      </c>
      <c r="X29" s="269">
        <v>42.5</v>
      </c>
      <c r="Y29" s="269">
        <v>0</v>
      </c>
      <c r="Z29" s="269">
        <v>25.5</v>
      </c>
      <c r="AA29" s="269">
        <v>17</v>
      </c>
      <c r="AB29" s="269">
        <v>20.399999999999999</v>
      </c>
      <c r="AC29" s="269">
        <v>51</v>
      </c>
    </row>
    <row r="30" spans="1:29" ht="15.6" x14ac:dyDescent="0.3">
      <c r="A30" s="284"/>
      <c r="B30" s="284"/>
      <c r="C30" s="283" t="s">
        <v>270</v>
      </c>
      <c r="D30" s="144" t="s">
        <v>98</v>
      </c>
      <c r="E30" s="285">
        <v>0.28999999999999998</v>
      </c>
      <c r="F30" s="282"/>
      <c r="G30" s="281"/>
      <c r="H30" s="273" t="s">
        <v>271</v>
      </c>
      <c r="I30" s="144" t="s">
        <v>94</v>
      </c>
      <c r="J30" s="271" t="s">
        <v>222</v>
      </c>
      <c r="K30" s="273" t="s">
        <v>212</v>
      </c>
      <c r="L30" s="272" t="s">
        <v>111</v>
      </c>
      <c r="M30" s="272">
        <v>476.19</v>
      </c>
      <c r="N30" s="272">
        <v>120</v>
      </c>
      <c r="O30" s="272">
        <v>3057.01</v>
      </c>
      <c r="P30" s="272">
        <v>5000</v>
      </c>
      <c r="Q30" s="272">
        <v>0</v>
      </c>
      <c r="R30" s="279">
        <v>0.45</v>
      </c>
      <c r="S30" s="271" t="s">
        <v>111</v>
      </c>
      <c r="T30" s="273" t="s">
        <v>271</v>
      </c>
      <c r="U30" s="144" t="s">
        <v>94</v>
      </c>
      <c r="V30" s="273" t="s">
        <v>212</v>
      </c>
      <c r="W30" s="269">
        <v>30.599999999999998</v>
      </c>
      <c r="X30" s="269">
        <v>42.5</v>
      </c>
      <c r="Y30" s="269">
        <v>0</v>
      </c>
      <c r="Z30" s="269">
        <v>25.5</v>
      </c>
      <c r="AA30" s="269">
        <v>17</v>
      </c>
      <c r="AB30" s="269">
        <v>20.399999999999999</v>
      </c>
      <c r="AC30" s="269">
        <v>51</v>
      </c>
    </row>
    <row r="31" spans="1:29" ht="15.6" x14ac:dyDescent="0.3">
      <c r="A31" s="284"/>
      <c r="B31" s="284"/>
      <c r="C31" s="283" t="s">
        <v>270</v>
      </c>
      <c r="D31" s="144" t="s">
        <v>99</v>
      </c>
      <c r="E31" s="285">
        <v>0.28999999999999998</v>
      </c>
      <c r="F31" s="282"/>
      <c r="G31" s="281"/>
      <c r="H31" s="273" t="s">
        <v>271</v>
      </c>
      <c r="I31" s="144" t="s">
        <v>94</v>
      </c>
      <c r="J31" s="271" t="s">
        <v>222</v>
      </c>
      <c r="K31" s="273" t="s">
        <v>203</v>
      </c>
      <c r="L31" s="272" t="s">
        <v>111</v>
      </c>
      <c r="M31" s="272">
        <v>400</v>
      </c>
      <c r="N31" s="272">
        <v>120</v>
      </c>
      <c r="O31" s="272">
        <v>1800</v>
      </c>
      <c r="P31" s="272">
        <v>3600</v>
      </c>
      <c r="Q31" s="272">
        <v>600</v>
      </c>
      <c r="R31" s="279">
        <v>0</v>
      </c>
      <c r="S31" s="271" t="s">
        <v>111</v>
      </c>
      <c r="T31" s="273" t="s">
        <v>271</v>
      </c>
      <c r="U31" s="144" t="s">
        <v>94</v>
      </c>
      <c r="V31" s="273" t="s">
        <v>203</v>
      </c>
      <c r="W31" s="269">
        <v>30.599999999999998</v>
      </c>
      <c r="X31" s="269">
        <v>42.5</v>
      </c>
      <c r="Y31" s="269">
        <v>0</v>
      </c>
      <c r="Z31" s="269">
        <v>25.5</v>
      </c>
      <c r="AA31" s="269">
        <v>17</v>
      </c>
      <c r="AB31" s="269">
        <v>20.399999999999999</v>
      </c>
      <c r="AC31" s="269">
        <v>51</v>
      </c>
    </row>
    <row r="32" spans="1:29" ht="15.6" x14ac:dyDescent="0.3">
      <c r="A32" s="284"/>
      <c r="B32" s="284"/>
      <c r="C32" s="283" t="s">
        <v>270</v>
      </c>
      <c r="D32" s="144" t="s">
        <v>100</v>
      </c>
      <c r="E32" s="285">
        <v>0.28999999999999998</v>
      </c>
      <c r="F32" s="282"/>
      <c r="G32" s="281"/>
      <c r="H32" s="273" t="s">
        <v>271</v>
      </c>
      <c r="I32" s="144" t="s">
        <v>95</v>
      </c>
      <c r="J32" s="271" t="s">
        <v>222</v>
      </c>
      <c r="K32" s="273" t="s">
        <v>221</v>
      </c>
      <c r="L32" s="272" t="s">
        <v>111</v>
      </c>
      <c r="M32" s="272">
        <v>200</v>
      </c>
      <c r="N32" s="272">
        <v>37</v>
      </c>
      <c r="O32" s="272">
        <v>3710.55</v>
      </c>
      <c r="P32" s="272">
        <v>4081.6</v>
      </c>
      <c r="Q32" s="272">
        <v>200</v>
      </c>
      <c r="R32" s="278">
        <v>0</v>
      </c>
      <c r="S32" s="271" t="s">
        <v>111</v>
      </c>
      <c r="T32" s="273" t="s">
        <v>271</v>
      </c>
      <c r="U32" s="144" t="s">
        <v>95</v>
      </c>
      <c r="V32" s="273" t="s">
        <v>221</v>
      </c>
      <c r="W32" s="269">
        <v>39.6</v>
      </c>
      <c r="X32" s="269">
        <v>55</v>
      </c>
      <c r="Y32" s="269">
        <v>3</v>
      </c>
      <c r="Z32" s="269">
        <v>33</v>
      </c>
      <c r="AA32" s="269">
        <v>22</v>
      </c>
      <c r="AB32" s="269">
        <v>26.4</v>
      </c>
      <c r="AC32" s="269">
        <v>66</v>
      </c>
    </row>
    <row r="33" spans="1:29" ht="15.6" x14ac:dyDescent="0.3">
      <c r="A33" s="284"/>
      <c r="B33" s="284"/>
      <c r="C33" s="283"/>
      <c r="D33" s="283"/>
      <c r="E33" s="283"/>
      <c r="F33" s="282"/>
      <c r="G33" s="281"/>
      <c r="H33" s="273" t="s">
        <v>271</v>
      </c>
      <c r="I33" s="144" t="s">
        <v>95</v>
      </c>
      <c r="J33" s="271" t="s">
        <v>222</v>
      </c>
      <c r="K33" s="273" t="s">
        <v>212</v>
      </c>
      <c r="L33" s="272" t="s">
        <v>111</v>
      </c>
      <c r="M33" s="272">
        <v>200</v>
      </c>
      <c r="N33" s="272">
        <v>42</v>
      </c>
      <c r="O33" s="272">
        <v>3279.44</v>
      </c>
      <c r="P33" s="272">
        <v>3607.4</v>
      </c>
      <c r="Q33" s="272">
        <v>300</v>
      </c>
      <c r="R33" s="276">
        <v>0</v>
      </c>
      <c r="S33" s="271" t="s">
        <v>111</v>
      </c>
      <c r="T33" s="273" t="s">
        <v>271</v>
      </c>
      <c r="U33" s="144" t="s">
        <v>95</v>
      </c>
      <c r="V33" s="273" t="s">
        <v>212</v>
      </c>
      <c r="W33" s="269">
        <v>39.6</v>
      </c>
      <c r="X33" s="269">
        <v>55</v>
      </c>
      <c r="Y33" s="269">
        <v>3</v>
      </c>
      <c r="Z33" s="269">
        <v>33</v>
      </c>
      <c r="AA33" s="269">
        <v>22</v>
      </c>
      <c r="AB33" s="269">
        <v>26.4</v>
      </c>
      <c r="AC33" s="269">
        <v>66</v>
      </c>
    </row>
    <row r="34" spans="1:29" ht="15.6" x14ac:dyDescent="0.3">
      <c r="A34" s="284"/>
      <c r="B34" s="284"/>
      <c r="C34" s="283"/>
      <c r="D34" s="283"/>
      <c r="E34" s="283"/>
      <c r="F34" s="282"/>
      <c r="G34" s="281"/>
      <c r="H34" s="273" t="s">
        <v>271</v>
      </c>
      <c r="I34" s="144" t="s">
        <v>95</v>
      </c>
      <c r="J34" s="271" t="s">
        <v>222</v>
      </c>
      <c r="K34" s="273" t="s">
        <v>203</v>
      </c>
      <c r="L34" s="272" t="s">
        <v>111</v>
      </c>
      <c r="M34" s="272">
        <v>150</v>
      </c>
      <c r="N34" s="272">
        <v>50</v>
      </c>
      <c r="O34" s="272">
        <v>2847.83</v>
      </c>
      <c r="P34" s="272">
        <v>3132.6</v>
      </c>
      <c r="Q34" s="272">
        <v>500</v>
      </c>
      <c r="R34" s="276">
        <v>0.34</v>
      </c>
      <c r="S34" s="271" t="s">
        <v>111</v>
      </c>
      <c r="T34" s="273" t="s">
        <v>271</v>
      </c>
      <c r="U34" s="144" t="s">
        <v>95</v>
      </c>
      <c r="V34" s="273" t="s">
        <v>203</v>
      </c>
      <c r="W34" s="269">
        <v>39.6</v>
      </c>
      <c r="X34" s="269">
        <v>55</v>
      </c>
      <c r="Y34" s="269">
        <v>3</v>
      </c>
      <c r="Z34" s="269">
        <v>33</v>
      </c>
      <c r="AA34" s="269">
        <v>22</v>
      </c>
      <c r="AB34" s="269">
        <v>26.4</v>
      </c>
      <c r="AC34" s="269">
        <v>66</v>
      </c>
    </row>
    <row r="35" spans="1:29" ht="15.6" x14ac:dyDescent="0.3">
      <c r="A35" s="284"/>
      <c r="B35" s="284"/>
      <c r="C35" s="283"/>
      <c r="D35" s="283"/>
      <c r="E35" s="283"/>
      <c r="F35" s="282"/>
      <c r="G35" s="281"/>
      <c r="H35" s="273" t="s">
        <v>271</v>
      </c>
      <c r="I35" s="144" t="s">
        <v>96</v>
      </c>
      <c r="J35" s="271" t="s">
        <v>222</v>
      </c>
      <c r="K35" s="273" t="s">
        <v>221</v>
      </c>
      <c r="L35" s="276" t="s">
        <v>111</v>
      </c>
      <c r="M35" s="276">
        <v>285</v>
      </c>
      <c r="N35" s="276">
        <v>57</v>
      </c>
      <c r="O35" s="276">
        <v>5952.38</v>
      </c>
      <c r="P35" s="276">
        <v>0</v>
      </c>
      <c r="Q35" s="276">
        <v>400</v>
      </c>
      <c r="R35" s="276">
        <v>0.23</v>
      </c>
      <c r="T35" s="273" t="s">
        <v>271</v>
      </c>
      <c r="U35" s="144" t="s">
        <v>96</v>
      </c>
      <c r="V35" s="273" t="s">
        <v>221</v>
      </c>
      <c r="W35" s="269">
        <v>18</v>
      </c>
      <c r="X35" s="269">
        <v>25</v>
      </c>
      <c r="Y35" s="269">
        <v>6</v>
      </c>
      <c r="Z35" s="269">
        <v>15</v>
      </c>
      <c r="AA35" s="269">
        <v>10</v>
      </c>
      <c r="AB35" s="269">
        <v>12</v>
      </c>
      <c r="AC35" s="269">
        <v>30</v>
      </c>
    </row>
    <row r="36" spans="1:29" x14ac:dyDescent="0.3">
      <c r="H36" s="273" t="s">
        <v>271</v>
      </c>
      <c r="I36" s="144" t="s">
        <v>96</v>
      </c>
      <c r="J36" s="271" t="s">
        <v>222</v>
      </c>
      <c r="K36" s="273" t="s">
        <v>212</v>
      </c>
      <c r="L36" s="276" t="s">
        <v>111</v>
      </c>
      <c r="M36" s="276">
        <v>140</v>
      </c>
      <c r="N36" s="276">
        <v>57</v>
      </c>
      <c r="O36" s="276">
        <v>4761.8999999999996</v>
      </c>
      <c r="P36" s="276">
        <v>0</v>
      </c>
      <c r="Q36" s="276">
        <v>100</v>
      </c>
      <c r="R36" s="278">
        <v>0</v>
      </c>
      <c r="S36" s="271" t="s">
        <v>111</v>
      </c>
      <c r="T36" s="273" t="s">
        <v>271</v>
      </c>
      <c r="U36" s="144" t="s">
        <v>96</v>
      </c>
      <c r="V36" s="273" t="s">
        <v>212</v>
      </c>
      <c r="W36" s="269">
        <v>18</v>
      </c>
      <c r="X36" s="269">
        <v>25</v>
      </c>
      <c r="Y36" s="269">
        <v>6</v>
      </c>
      <c r="Z36" s="269">
        <v>15</v>
      </c>
      <c r="AA36" s="269">
        <v>10</v>
      </c>
      <c r="AB36" s="269">
        <v>12</v>
      </c>
      <c r="AC36" s="269">
        <v>30</v>
      </c>
    </row>
    <row r="37" spans="1:29" x14ac:dyDescent="0.3">
      <c r="H37" s="273" t="s">
        <v>271</v>
      </c>
      <c r="I37" s="144" t="s">
        <v>96</v>
      </c>
      <c r="J37" s="271" t="s">
        <v>222</v>
      </c>
      <c r="K37" s="273" t="s">
        <v>203</v>
      </c>
      <c r="L37" s="276" t="s">
        <v>111</v>
      </c>
      <c r="M37" s="276">
        <v>140</v>
      </c>
      <c r="N37" s="276">
        <v>57</v>
      </c>
      <c r="O37" s="276">
        <v>4761.8999999999996</v>
      </c>
      <c r="P37" s="276">
        <v>0</v>
      </c>
      <c r="Q37" s="276">
        <v>100</v>
      </c>
      <c r="R37" s="278">
        <v>0</v>
      </c>
      <c r="S37" s="271" t="s">
        <v>111</v>
      </c>
      <c r="T37" s="273" t="s">
        <v>271</v>
      </c>
      <c r="U37" s="144" t="s">
        <v>96</v>
      </c>
      <c r="V37" s="273" t="s">
        <v>203</v>
      </c>
      <c r="W37" s="269">
        <v>18</v>
      </c>
      <c r="X37" s="269">
        <v>25</v>
      </c>
      <c r="Y37" s="269">
        <v>18</v>
      </c>
      <c r="Z37" s="269">
        <v>15</v>
      </c>
      <c r="AA37" s="269">
        <v>10</v>
      </c>
      <c r="AB37" s="269">
        <v>12</v>
      </c>
      <c r="AC37" s="269">
        <v>30</v>
      </c>
    </row>
    <row r="38" spans="1:29" x14ac:dyDescent="0.3">
      <c r="H38" s="273" t="s">
        <v>271</v>
      </c>
      <c r="I38" s="144" t="s">
        <v>97</v>
      </c>
      <c r="J38" s="271" t="s">
        <v>222</v>
      </c>
      <c r="K38" s="273" t="s">
        <v>221</v>
      </c>
      <c r="L38" s="272" t="s">
        <v>111</v>
      </c>
      <c r="M38" s="272">
        <v>144</v>
      </c>
      <c r="N38" s="272">
        <v>18</v>
      </c>
      <c r="O38" s="272">
        <v>2937.48</v>
      </c>
      <c r="P38" s="272">
        <v>4993.7</v>
      </c>
      <c r="Q38" s="272">
        <v>300</v>
      </c>
      <c r="R38" s="278">
        <v>0</v>
      </c>
      <c r="S38" s="271" t="s">
        <v>111</v>
      </c>
      <c r="T38" s="273" t="s">
        <v>271</v>
      </c>
      <c r="U38" s="144" t="s">
        <v>97</v>
      </c>
      <c r="V38" s="273" t="s">
        <v>221</v>
      </c>
      <c r="W38" s="269">
        <v>32.4</v>
      </c>
      <c r="X38" s="269">
        <v>45</v>
      </c>
      <c r="Y38" s="269">
        <v>20</v>
      </c>
      <c r="Z38" s="269">
        <v>27</v>
      </c>
      <c r="AA38" s="269">
        <v>18</v>
      </c>
      <c r="AB38" s="269">
        <v>21.599999999999998</v>
      </c>
      <c r="AC38" s="269">
        <v>54</v>
      </c>
    </row>
    <row r="39" spans="1:29" x14ac:dyDescent="0.3">
      <c r="H39" s="273" t="s">
        <v>271</v>
      </c>
      <c r="I39" s="144" t="s">
        <v>97</v>
      </c>
      <c r="J39" s="271" t="s">
        <v>222</v>
      </c>
      <c r="K39" s="273" t="s">
        <v>212</v>
      </c>
      <c r="L39" s="272" t="s">
        <v>111</v>
      </c>
      <c r="M39" s="272">
        <v>225</v>
      </c>
      <c r="N39" s="272">
        <v>12</v>
      </c>
      <c r="O39" s="272">
        <v>2239.87</v>
      </c>
      <c r="P39" s="272">
        <v>3807.8</v>
      </c>
      <c r="Q39" s="272">
        <v>350</v>
      </c>
      <c r="R39" s="276">
        <v>0.1</v>
      </c>
      <c r="S39" s="271" t="s">
        <v>111</v>
      </c>
      <c r="T39" s="273" t="s">
        <v>271</v>
      </c>
      <c r="U39" s="144" t="s">
        <v>97</v>
      </c>
      <c r="V39" s="273" t="s">
        <v>212</v>
      </c>
      <c r="W39" s="269">
        <v>32.4</v>
      </c>
      <c r="X39" s="269">
        <v>45</v>
      </c>
      <c r="Y39" s="269">
        <v>20</v>
      </c>
      <c r="Z39" s="269">
        <v>27</v>
      </c>
      <c r="AA39" s="269">
        <v>18</v>
      </c>
      <c r="AB39" s="269">
        <v>21.599999999999998</v>
      </c>
      <c r="AC39" s="269">
        <v>54</v>
      </c>
    </row>
    <row r="40" spans="1:29" x14ac:dyDescent="0.3">
      <c r="H40" s="273" t="s">
        <v>271</v>
      </c>
      <c r="I40" s="144" t="s">
        <v>97</v>
      </c>
      <c r="J40" s="271" t="s">
        <v>222</v>
      </c>
      <c r="K40" s="273" t="s">
        <v>203</v>
      </c>
      <c r="L40" s="272" t="s">
        <v>111</v>
      </c>
      <c r="M40" s="272">
        <v>225</v>
      </c>
      <c r="N40" s="272">
        <v>12</v>
      </c>
      <c r="O40" s="272">
        <v>2239.87</v>
      </c>
      <c r="P40" s="272">
        <v>3807.8</v>
      </c>
      <c r="Q40" s="272">
        <v>350</v>
      </c>
      <c r="R40" s="276">
        <v>0</v>
      </c>
      <c r="S40" s="271" t="s">
        <v>111</v>
      </c>
      <c r="T40" s="273" t="s">
        <v>271</v>
      </c>
      <c r="U40" s="144" t="s">
        <v>97</v>
      </c>
      <c r="V40" s="273" t="s">
        <v>203</v>
      </c>
      <c r="W40" s="269">
        <v>32.4</v>
      </c>
      <c r="X40" s="269">
        <v>45</v>
      </c>
      <c r="Y40" s="269">
        <v>20</v>
      </c>
      <c r="Z40" s="269">
        <v>27</v>
      </c>
      <c r="AA40" s="269">
        <v>18</v>
      </c>
      <c r="AB40" s="269">
        <v>21.599999999999998</v>
      </c>
      <c r="AC40" s="269">
        <v>54</v>
      </c>
    </row>
    <row r="41" spans="1:29" x14ac:dyDescent="0.3">
      <c r="H41" s="273" t="s">
        <v>270</v>
      </c>
      <c r="I41" s="144" t="s">
        <v>94</v>
      </c>
      <c r="J41" s="271" t="s">
        <v>222</v>
      </c>
      <c r="K41" s="273" t="s">
        <v>221</v>
      </c>
      <c r="L41" s="272" t="s">
        <v>111</v>
      </c>
      <c r="M41" s="272">
        <v>526.19000000000005</v>
      </c>
      <c r="N41" s="272">
        <v>140</v>
      </c>
      <c r="O41" s="272">
        <v>3199.4</v>
      </c>
      <c r="P41" s="277">
        <v>5439</v>
      </c>
      <c r="Q41" s="272">
        <v>105</v>
      </c>
      <c r="R41" s="276">
        <v>0</v>
      </c>
      <c r="S41" s="271" t="s">
        <v>111</v>
      </c>
      <c r="T41" s="273" t="s">
        <v>270</v>
      </c>
      <c r="U41" s="144" t="s">
        <v>94</v>
      </c>
      <c r="V41" s="273" t="s">
        <v>221</v>
      </c>
      <c r="W41" s="269">
        <v>30.599999999999998</v>
      </c>
      <c r="X41" s="269">
        <v>42.5</v>
      </c>
      <c r="Y41" s="269">
        <v>0</v>
      </c>
      <c r="Z41" s="269">
        <v>25.5</v>
      </c>
      <c r="AA41" s="269">
        <v>17</v>
      </c>
      <c r="AB41" s="269">
        <v>20.399999999999999</v>
      </c>
      <c r="AC41" s="269">
        <v>51</v>
      </c>
    </row>
    <row r="42" spans="1:29" x14ac:dyDescent="0.3">
      <c r="H42" s="273" t="s">
        <v>270</v>
      </c>
      <c r="I42" s="144" t="s">
        <v>94</v>
      </c>
      <c r="J42" s="271" t="s">
        <v>222</v>
      </c>
      <c r="K42" s="273" t="s">
        <v>212</v>
      </c>
      <c r="L42" s="272" t="s">
        <v>111</v>
      </c>
      <c r="M42" s="272">
        <v>476.19</v>
      </c>
      <c r="N42" s="272">
        <v>120</v>
      </c>
      <c r="O42" s="272">
        <v>3057.01</v>
      </c>
      <c r="P42" s="272">
        <v>5000</v>
      </c>
      <c r="Q42" s="272">
        <v>0</v>
      </c>
      <c r="R42" s="276">
        <v>0</v>
      </c>
      <c r="S42" s="271" t="s">
        <v>111</v>
      </c>
      <c r="T42" s="273" t="s">
        <v>270</v>
      </c>
      <c r="U42" s="144" t="s">
        <v>94</v>
      </c>
      <c r="V42" s="273" t="s">
        <v>212</v>
      </c>
      <c r="W42" s="269">
        <v>30.599999999999998</v>
      </c>
      <c r="X42" s="269">
        <v>42.5</v>
      </c>
      <c r="Y42" s="269">
        <v>0</v>
      </c>
      <c r="Z42" s="269">
        <v>25.5</v>
      </c>
      <c r="AA42" s="269">
        <v>17</v>
      </c>
      <c r="AB42" s="269">
        <v>20.399999999999999</v>
      </c>
      <c r="AC42" s="269">
        <v>51</v>
      </c>
    </row>
    <row r="43" spans="1:29" x14ac:dyDescent="0.3">
      <c r="H43" s="273" t="s">
        <v>270</v>
      </c>
      <c r="I43" s="144" t="s">
        <v>94</v>
      </c>
      <c r="J43" s="271" t="s">
        <v>222</v>
      </c>
      <c r="K43" s="273" t="s">
        <v>203</v>
      </c>
      <c r="L43" s="272" t="s">
        <v>111</v>
      </c>
      <c r="M43" s="272">
        <v>400</v>
      </c>
      <c r="N43" s="272">
        <v>120</v>
      </c>
      <c r="O43" s="272">
        <v>1800</v>
      </c>
      <c r="P43" s="272">
        <v>3600</v>
      </c>
      <c r="Q43" s="272">
        <v>600</v>
      </c>
      <c r="R43" s="276">
        <v>0.36</v>
      </c>
      <c r="S43" s="271" t="s">
        <v>111</v>
      </c>
      <c r="T43" s="273" t="s">
        <v>270</v>
      </c>
      <c r="U43" s="144" t="s">
        <v>94</v>
      </c>
      <c r="V43" s="273" t="s">
        <v>203</v>
      </c>
      <c r="W43" s="269">
        <v>30.599999999999998</v>
      </c>
      <c r="X43" s="269">
        <v>42.5</v>
      </c>
      <c r="Y43" s="269">
        <v>0</v>
      </c>
      <c r="Z43" s="269">
        <v>25.5</v>
      </c>
      <c r="AA43" s="269">
        <v>17</v>
      </c>
      <c r="AB43" s="269">
        <v>20.399999999999999</v>
      </c>
      <c r="AC43" s="269">
        <v>51</v>
      </c>
    </row>
    <row r="44" spans="1:29" x14ac:dyDescent="0.3">
      <c r="H44" s="273" t="s">
        <v>270</v>
      </c>
      <c r="I44" s="144" t="s">
        <v>95</v>
      </c>
      <c r="J44" s="271" t="s">
        <v>222</v>
      </c>
      <c r="K44" s="273" t="s">
        <v>221</v>
      </c>
      <c r="L44" s="272" t="s">
        <v>111</v>
      </c>
      <c r="M44" s="272">
        <v>200</v>
      </c>
      <c r="N44" s="272">
        <v>37</v>
      </c>
      <c r="O44" s="272">
        <v>3710.55</v>
      </c>
      <c r="P44" s="272">
        <v>4081.6</v>
      </c>
      <c r="Q44" s="272">
        <v>200</v>
      </c>
      <c r="R44" s="276">
        <v>0</v>
      </c>
      <c r="S44" s="271" t="s">
        <v>111</v>
      </c>
      <c r="T44" s="273" t="s">
        <v>270</v>
      </c>
      <c r="U44" s="144" t="s">
        <v>95</v>
      </c>
      <c r="V44" s="273" t="s">
        <v>221</v>
      </c>
      <c r="W44" s="269">
        <v>39.6</v>
      </c>
      <c r="X44" s="269">
        <v>55</v>
      </c>
      <c r="Y44" s="269">
        <v>3</v>
      </c>
      <c r="Z44" s="269">
        <v>33</v>
      </c>
      <c r="AA44" s="269">
        <v>22</v>
      </c>
      <c r="AB44" s="269">
        <v>26.4</v>
      </c>
      <c r="AC44" s="269">
        <v>66</v>
      </c>
    </row>
    <row r="45" spans="1:29" x14ac:dyDescent="0.3">
      <c r="H45" s="273" t="s">
        <v>270</v>
      </c>
      <c r="I45" s="144" t="s">
        <v>95</v>
      </c>
      <c r="J45" s="271" t="s">
        <v>222</v>
      </c>
      <c r="K45" s="273" t="s">
        <v>212</v>
      </c>
      <c r="L45" s="272" t="s">
        <v>111</v>
      </c>
      <c r="M45" s="272">
        <v>200</v>
      </c>
      <c r="N45" s="272">
        <v>42</v>
      </c>
      <c r="O45" s="272">
        <v>3279.44</v>
      </c>
      <c r="P45" s="272">
        <v>3607.4</v>
      </c>
      <c r="Q45" s="272">
        <v>300</v>
      </c>
      <c r="R45" s="276">
        <v>0</v>
      </c>
      <c r="S45" s="271" t="s">
        <v>111</v>
      </c>
      <c r="T45" s="273" t="s">
        <v>270</v>
      </c>
      <c r="U45" s="144" t="s">
        <v>95</v>
      </c>
      <c r="V45" s="273" t="s">
        <v>212</v>
      </c>
      <c r="W45" s="269">
        <v>39.6</v>
      </c>
      <c r="X45" s="269">
        <v>55</v>
      </c>
      <c r="Y45" s="269">
        <v>3</v>
      </c>
      <c r="Z45" s="269">
        <v>33</v>
      </c>
      <c r="AA45" s="269">
        <v>22</v>
      </c>
      <c r="AB45" s="269">
        <v>26.4</v>
      </c>
      <c r="AC45" s="269">
        <v>66</v>
      </c>
    </row>
    <row r="46" spans="1:29" x14ac:dyDescent="0.3">
      <c r="H46" s="273" t="s">
        <v>270</v>
      </c>
      <c r="I46" s="144" t="s">
        <v>95</v>
      </c>
      <c r="J46" s="271" t="s">
        <v>222</v>
      </c>
      <c r="K46" s="273" t="s">
        <v>203</v>
      </c>
      <c r="L46" s="272" t="s">
        <v>111</v>
      </c>
      <c r="M46" s="272">
        <v>150</v>
      </c>
      <c r="N46" s="272">
        <v>50</v>
      </c>
      <c r="O46" s="272">
        <v>2847.83</v>
      </c>
      <c r="P46" s="272">
        <v>3132.6</v>
      </c>
      <c r="Q46" s="272">
        <v>500</v>
      </c>
      <c r="R46" s="276">
        <v>0.16</v>
      </c>
      <c r="S46" s="271" t="s">
        <v>111</v>
      </c>
      <c r="T46" s="273" t="s">
        <v>270</v>
      </c>
      <c r="U46" s="144" t="s">
        <v>95</v>
      </c>
      <c r="V46" s="273" t="s">
        <v>203</v>
      </c>
      <c r="W46" s="269">
        <v>39.6</v>
      </c>
      <c r="X46" s="269">
        <v>55</v>
      </c>
      <c r="Y46" s="269">
        <v>3</v>
      </c>
      <c r="Z46" s="269">
        <v>33</v>
      </c>
      <c r="AA46" s="269">
        <v>22</v>
      </c>
      <c r="AB46" s="269">
        <v>26.4</v>
      </c>
      <c r="AC46" s="269">
        <v>66</v>
      </c>
    </row>
    <row r="47" spans="1:29" x14ac:dyDescent="0.3">
      <c r="H47" s="273" t="s">
        <v>270</v>
      </c>
      <c r="I47" s="144" t="s">
        <v>96</v>
      </c>
      <c r="J47" s="271" t="s">
        <v>222</v>
      </c>
      <c r="K47" s="273" t="s">
        <v>221</v>
      </c>
      <c r="L47" s="276" t="s">
        <v>111</v>
      </c>
      <c r="M47" s="276">
        <v>285</v>
      </c>
      <c r="N47" s="276">
        <v>57</v>
      </c>
      <c r="O47" s="276">
        <v>5952.38</v>
      </c>
      <c r="P47" s="276">
        <v>0</v>
      </c>
      <c r="Q47" s="276">
        <v>400</v>
      </c>
      <c r="R47" s="276">
        <v>0</v>
      </c>
      <c r="S47" s="271" t="s">
        <v>111</v>
      </c>
      <c r="T47" s="273" t="s">
        <v>270</v>
      </c>
      <c r="U47" s="144" t="s">
        <v>96</v>
      </c>
      <c r="V47" s="273" t="s">
        <v>221</v>
      </c>
      <c r="W47" s="269">
        <v>18</v>
      </c>
      <c r="X47" s="269">
        <v>25</v>
      </c>
      <c r="Y47" s="269">
        <v>6</v>
      </c>
      <c r="Z47" s="269">
        <v>15</v>
      </c>
      <c r="AA47" s="269">
        <v>10</v>
      </c>
      <c r="AB47" s="269">
        <v>12</v>
      </c>
      <c r="AC47" s="269">
        <v>30</v>
      </c>
    </row>
    <row r="48" spans="1:29" x14ac:dyDescent="0.3">
      <c r="H48" s="273" t="s">
        <v>270</v>
      </c>
      <c r="I48" s="144" t="s">
        <v>96</v>
      </c>
      <c r="J48" s="271" t="s">
        <v>222</v>
      </c>
      <c r="K48" s="273" t="s">
        <v>212</v>
      </c>
      <c r="L48" s="276" t="s">
        <v>111</v>
      </c>
      <c r="M48" s="276">
        <v>140</v>
      </c>
      <c r="N48" s="276">
        <v>57</v>
      </c>
      <c r="O48" s="276">
        <v>4761.8999999999996</v>
      </c>
      <c r="P48" s="276">
        <v>0</v>
      </c>
      <c r="Q48" s="276">
        <v>100</v>
      </c>
      <c r="R48" s="276">
        <v>0.11</v>
      </c>
      <c r="S48" s="271" t="s">
        <v>111</v>
      </c>
      <c r="T48" s="273" t="s">
        <v>270</v>
      </c>
      <c r="U48" s="144" t="s">
        <v>96</v>
      </c>
      <c r="V48" s="273" t="s">
        <v>212</v>
      </c>
      <c r="W48" s="269">
        <v>18</v>
      </c>
      <c r="X48" s="269">
        <v>25</v>
      </c>
      <c r="Y48" s="269">
        <v>6</v>
      </c>
      <c r="Z48" s="269">
        <v>15</v>
      </c>
      <c r="AA48" s="269">
        <v>10</v>
      </c>
      <c r="AB48" s="269">
        <v>12</v>
      </c>
      <c r="AC48" s="269">
        <v>30</v>
      </c>
    </row>
    <row r="49" spans="8:29" x14ac:dyDescent="0.3">
      <c r="H49" s="273" t="s">
        <v>270</v>
      </c>
      <c r="I49" s="144" t="s">
        <v>96</v>
      </c>
      <c r="J49" s="271" t="s">
        <v>222</v>
      </c>
      <c r="K49" s="273" t="s">
        <v>203</v>
      </c>
      <c r="L49" s="276" t="s">
        <v>111</v>
      </c>
      <c r="M49" s="276">
        <v>140</v>
      </c>
      <c r="N49" s="276">
        <v>57</v>
      </c>
      <c r="O49" s="276">
        <v>4761.8999999999996</v>
      </c>
      <c r="P49" s="276">
        <v>0</v>
      </c>
      <c r="Q49" s="276">
        <v>100</v>
      </c>
      <c r="R49" s="276">
        <v>0</v>
      </c>
      <c r="S49" s="271" t="s">
        <v>111</v>
      </c>
      <c r="T49" s="273" t="s">
        <v>270</v>
      </c>
      <c r="U49" s="144" t="s">
        <v>96</v>
      </c>
      <c r="V49" s="273" t="s">
        <v>203</v>
      </c>
      <c r="W49" s="269">
        <v>18</v>
      </c>
      <c r="X49" s="269">
        <v>25</v>
      </c>
      <c r="Y49" s="269">
        <v>18</v>
      </c>
      <c r="Z49" s="269">
        <v>15</v>
      </c>
      <c r="AA49" s="269">
        <v>10</v>
      </c>
      <c r="AB49" s="269">
        <v>12</v>
      </c>
      <c r="AC49" s="269">
        <v>30</v>
      </c>
    </row>
    <row r="50" spans="8:29" x14ac:dyDescent="0.3">
      <c r="H50" s="273" t="s">
        <v>270</v>
      </c>
      <c r="I50" s="144" t="s">
        <v>97</v>
      </c>
      <c r="J50" s="271" t="s">
        <v>222</v>
      </c>
      <c r="K50" s="273" t="s">
        <v>221</v>
      </c>
      <c r="L50" s="272" t="s">
        <v>111</v>
      </c>
      <c r="M50" s="272">
        <v>144</v>
      </c>
      <c r="N50" s="272">
        <v>18</v>
      </c>
      <c r="O50" s="272">
        <v>2937.48</v>
      </c>
      <c r="P50" s="272">
        <v>4993.7</v>
      </c>
      <c r="Q50" s="272">
        <v>300</v>
      </c>
      <c r="R50" s="276">
        <v>0</v>
      </c>
      <c r="S50" s="271" t="s">
        <v>111</v>
      </c>
      <c r="T50" s="273" t="s">
        <v>270</v>
      </c>
      <c r="U50" s="144" t="s">
        <v>97</v>
      </c>
      <c r="V50" s="273" t="s">
        <v>221</v>
      </c>
      <c r="W50" s="269">
        <v>32.4</v>
      </c>
      <c r="X50" s="269">
        <v>45</v>
      </c>
      <c r="Y50" s="269">
        <v>20</v>
      </c>
      <c r="Z50" s="269">
        <v>27</v>
      </c>
      <c r="AA50" s="269">
        <v>18</v>
      </c>
      <c r="AB50" s="269">
        <v>21.599999999999998</v>
      </c>
      <c r="AC50" s="269">
        <v>54</v>
      </c>
    </row>
    <row r="51" spans="8:29" x14ac:dyDescent="0.3">
      <c r="H51" s="273" t="s">
        <v>270</v>
      </c>
      <c r="I51" s="144" t="s">
        <v>97</v>
      </c>
      <c r="J51" s="271" t="s">
        <v>222</v>
      </c>
      <c r="K51" s="273" t="s">
        <v>212</v>
      </c>
      <c r="L51" s="272" t="s">
        <v>111</v>
      </c>
      <c r="M51" s="272">
        <v>225</v>
      </c>
      <c r="N51" s="272">
        <v>12</v>
      </c>
      <c r="O51" s="272">
        <v>2239.87</v>
      </c>
      <c r="P51" s="272">
        <v>3807.8</v>
      </c>
      <c r="Q51" s="272">
        <v>350</v>
      </c>
      <c r="R51" s="276">
        <v>0</v>
      </c>
      <c r="S51" s="271" t="s">
        <v>111</v>
      </c>
      <c r="T51" s="273" t="s">
        <v>270</v>
      </c>
      <c r="U51" s="144" t="s">
        <v>97</v>
      </c>
      <c r="V51" s="273" t="s">
        <v>212</v>
      </c>
      <c r="W51" s="269">
        <v>32.4</v>
      </c>
      <c r="X51" s="269">
        <v>45</v>
      </c>
      <c r="Y51" s="269">
        <v>20</v>
      </c>
      <c r="Z51" s="269">
        <v>27</v>
      </c>
      <c r="AA51" s="269">
        <v>18</v>
      </c>
      <c r="AB51" s="269">
        <v>21.599999999999998</v>
      </c>
      <c r="AC51" s="269">
        <v>54</v>
      </c>
    </row>
    <row r="52" spans="8:29" x14ac:dyDescent="0.3">
      <c r="H52" s="273" t="s">
        <v>270</v>
      </c>
      <c r="I52" s="144" t="s">
        <v>97</v>
      </c>
      <c r="J52" s="271" t="s">
        <v>222</v>
      </c>
      <c r="K52" s="273" t="s">
        <v>203</v>
      </c>
      <c r="L52" s="272" t="s">
        <v>111</v>
      </c>
      <c r="M52" s="272">
        <v>225</v>
      </c>
      <c r="N52" s="272">
        <v>12</v>
      </c>
      <c r="O52" s="272">
        <v>2239.87</v>
      </c>
      <c r="P52" s="272">
        <v>3807.8</v>
      </c>
      <c r="Q52" s="272">
        <v>350</v>
      </c>
      <c r="R52" s="276">
        <v>0</v>
      </c>
      <c r="S52" s="271" t="s">
        <v>111</v>
      </c>
      <c r="T52" s="273" t="s">
        <v>270</v>
      </c>
      <c r="U52" s="144" t="s">
        <v>97</v>
      </c>
      <c r="V52" s="273" t="s">
        <v>203</v>
      </c>
      <c r="W52" s="269">
        <v>32.4</v>
      </c>
      <c r="X52" s="269">
        <v>45</v>
      </c>
      <c r="Y52" s="269">
        <v>20</v>
      </c>
      <c r="Z52" s="269">
        <v>27</v>
      </c>
      <c r="AA52" s="269">
        <v>18</v>
      </c>
      <c r="AB52" s="269">
        <v>21.599999999999998</v>
      </c>
      <c r="AC52" s="269">
        <v>54</v>
      </c>
    </row>
    <row r="53" spans="8:29" x14ac:dyDescent="0.3">
      <c r="H53" s="273" t="s">
        <v>11</v>
      </c>
      <c r="I53" s="144" t="s">
        <v>172</v>
      </c>
      <c r="J53" s="271" t="s">
        <v>222</v>
      </c>
      <c r="K53" s="273" t="s">
        <v>221</v>
      </c>
      <c r="L53" s="272" t="s">
        <v>111</v>
      </c>
      <c r="M53" s="272" t="s">
        <v>111</v>
      </c>
      <c r="N53" s="272" t="s">
        <v>111</v>
      </c>
      <c r="O53" s="272" t="s">
        <v>111</v>
      </c>
      <c r="P53" s="272" t="s">
        <v>111</v>
      </c>
      <c r="Q53" s="272" t="s">
        <v>111</v>
      </c>
      <c r="R53" s="272" t="s">
        <v>111</v>
      </c>
      <c r="S53" s="271" t="s">
        <v>111</v>
      </c>
      <c r="T53" s="273"/>
      <c r="V53" s="273"/>
      <c r="AC53" s="269"/>
    </row>
    <row r="54" spans="8:29" x14ac:dyDescent="0.3">
      <c r="H54" s="273" t="s">
        <v>11</v>
      </c>
      <c r="I54" s="144" t="s">
        <v>172</v>
      </c>
      <c r="J54" s="271" t="s">
        <v>222</v>
      </c>
      <c r="K54" s="273" t="s">
        <v>212</v>
      </c>
      <c r="L54" s="272" t="s">
        <v>111</v>
      </c>
      <c r="M54" s="272" t="s">
        <v>111</v>
      </c>
      <c r="N54" s="272" t="s">
        <v>111</v>
      </c>
      <c r="O54" s="272" t="s">
        <v>111</v>
      </c>
      <c r="P54" s="272" t="s">
        <v>111</v>
      </c>
      <c r="Q54" s="272" t="s">
        <v>111</v>
      </c>
      <c r="R54" s="272" t="s">
        <v>111</v>
      </c>
      <c r="S54" s="271" t="s">
        <v>111</v>
      </c>
      <c r="T54" s="273"/>
      <c r="V54" s="273"/>
      <c r="AC54" s="269"/>
    </row>
    <row r="55" spans="8:29" x14ac:dyDescent="0.3">
      <c r="H55" s="273" t="s">
        <v>11</v>
      </c>
      <c r="I55" s="144" t="s">
        <v>172</v>
      </c>
      <c r="J55" s="271" t="s">
        <v>222</v>
      </c>
      <c r="K55" s="273" t="s">
        <v>203</v>
      </c>
      <c r="L55" s="272" t="s">
        <v>111</v>
      </c>
      <c r="M55" s="272" t="s">
        <v>111</v>
      </c>
      <c r="N55" s="272" t="s">
        <v>111</v>
      </c>
      <c r="O55" s="272" t="s">
        <v>111</v>
      </c>
      <c r="P55" s="272" t="s">
        <v>111</v>
      </c>
      <c r="Q55" s="272" t="s">
        <v>111</v>
      </c>
      <c r="R55" s="272" t="s">
        <v>111</v>
      </c>
      <c r="S55" s="271" t="s">
        <v>111</v>
      </c>
      <c r="T55" s="273"/>
      <c r="V55" s="273"/>
      <c r="AC55" s="269"/>
    </row>
    <row r="56" spans="8:29" x14ac:dyDescent="0.3">
      <c r="H56" s="273" t="s">
        <v>12</v>
      </c>
      <c r="I56" s="144" t="s">
        <v>172</v>
      </c>
      <c r="J56" s="271" t="s">
        <v>222</v>
      </c>
      <c r="K56" s="273" t="s">
        <v>221</v>
      </c>
      <c r="L56" s="272" t="s">
        <v>111</v>
      </c>
      <c r="M56" s="272" t="s">
        <v>111</v>
      </c>
      <c r="N56" s="272" t="s">
        <v>111</v>
      </c>
      <c r="O56" s="272" t="s">
        <v>111</v>
      </c>
      <c r="P56" s="272" t="s">
        <v>111</v>
      </c>
      <c r="Q56" s="272" t="s">
        <v>111</v>
      </c>
      <c r="R56" s="272" t="s">
        <v>111</v>
      </c>
      <c r="S56" s="271" t="s">
        <v>111</v>
      </c>
      <c r="T56" s="273"/>
      <c r="V56" s="273"/>
      <c r="AC56" s="269"/>
    </row>
    <row r="57" spans="8:29" x14ac:dyDescent="0.3">
      <c r="H57" s="273" t="s">
        <v>12</v>
      </c>
      <c r="I57" s="144" t="s">
        <v>172</v>
      </c>
      <c r="J57" s="271" t="s">
        <v>222</v>
      </c>
      <c r="K57" s="273" t="s">
        <v>212</v>
      </c>
      <c r="L57" s="272" t="s">
        <v>111</v>
      </c>
      <c r="M57" s="272" t="s">
        <v>111</v>
      </c>
      <c r="N57" s="272" t="s">
        <v>111</v>
      </c>
      <c r="O57" s="272" t="s">
        <v>111</v>
      </c>
      <c r="P57" s="272" t="s">
        <v>111</v>
      </c>
      <c r="Q57" s="272" t="s">
        <v>111</v>
      </c>
      <c r="R57" s="272" t="s">
        <v>111</v>
      </c>
      <c r="S57" s="271" t="s">
        <v>111</v>
      </c>
      <c r="T57" s="273"/>
      <c r="V57" s="273"/>
      <c r="AC57" s="269"/>
    </row>
    <row r="58" spans="8:29" x14ac:dyDescent="0.3">
      <c r="H58" s="273" t="s">
        <v>12</v>
      </c>
      <c r="I58" s="144" t="s">
        <v>172</v>
      </c>
      <c r="J58" s="271" t="s">
        <v>222</v>
      </c>
      <c r="K58" s="273" t="s">
        <v>203</v>
      </c>
      <c r="L58" s="272" t="s">
        <v>111</v>
      </c>
      <c r="M58" s="272" t="s">
        <v>111</v>
      </c>
      <c r="N58" s="272" t="s">
        <v>111</v>
      </c>
      <c r="O58" s="272" t="s">
        <v>111</v>
      </c>
      <c r="P58" s="272" t="s">
        <v>111</v>
      </c>
      <c r="Q58" s="272" t="s">
        <v>111</v>
      </c>
      <c r="R58" s="272" t="s">
        <v>111</v>
      </c>
      <c r="S58" s="271" t="s">
        <v>111</v>
      </c>
      <c r="T58" s="273"/>
      <c r="V58" s="273"/>
      <c r="AC58" s="269"/>
    </row>
    <row r="59" spans="8:29" x14ac:dyDescent="0.3">
      <c r="H59" s="273" t="s">
        <v>271</v>
      </c>
      <c r="I59" s="144" t="s">
        <v>172</v>
      </c>
      <c r="J59" s="271" t="s">
        <v>222</v>
      </c>
      <c r="K59" s="273" t="s">
        <v>221</v>
      </c>
      <c r="L59" s="272" t="s">
        <v>111</v>
      </c>
      <c r="M59" s="272" t="s">
        <v>111</v>
      </c>
      <c r="N59" s="272" t="s">
        <v>111</v>
      </c>
      <c r="O59" s="272" t="s">
        <v>111</v>
      </c>
      <c r="P59" s="272" t="s">
        <v>111</v>
      </c>
      <c r="Q59" s="272" t="s">
        <v>111</v>
      </c>
      <c r="R59" s="272" t="s">
        <v>111</v>
      </c>
      <c r="S59" s="271" t="s">
        <v>111</v>
      </c>
      <c r="T59" s="273"/>
      <c r="V59" s="273"/>
      <c r="AC59" s="269"/>
    </row>
    <row r="60" spans="8:29" x14ac:dyDescent="0.3">
      <c r="H60" s="273" t="s">
        <v>271</v>
      </c>
      <c r="I60" s="144" t="s">
        <v>172</v>
      </c>
      <c r="J60" s="271" t="s">
        <v>222</v>
      </c>
      <c r="K60" s="273" t="s">
        <v>212</v>
      </c>
      <c r="L60" s="272" t="s">
        <v>111</v>
      </c>
      <c r="M60" s="272" t="s">
        <v>111</v>
      </c>
      <c r="N60" s="272" t="s">
        <v>111</v>
      </c>
      <c r="O60" s="272" t="s">
        <v>111</v>
      </c>
      <c r="P60" s="272" t="s">
        <v>111</v>
      </c>
      <c r="Q60" s="272" t="s">
        <v>111</v>
      </c>
      <c r="R60" s="272" t="s">
        <v>111</v>
      </c>
      <c r="S60" s="271" t="s">
        <v>111</v>
      </c>
      <c r="T60" s="273"/>
      <c r="V60" s="273"/>
      <c r="AC60" s="269"/>
    </row>
    <row r="61" spans="8:29" x14ac:dyDescent="0.3">
      <c r="H61" s="273" t="s">
        <v>271</v>
      </c>
      <c r="I61" s="144" t="s">
        <v>172</v>
      </c>
      <c r="J61" s="271" t="s">
        <v>222</v>
      </c>
      <c r="K61" s="273" t="s">
        <v>203</v>
      </c>
      <c r="L61" s="272" t="s">
        <v>111</v>
      </c>
      <c r="M61" s="272" t="s">
        <v>111</v>
      </c>
      <c r="N61" s="272" t="s">
        <v>111</v>
      </c>
      <c r="O61" s="272" t="s">
        <v>111</v>
      </c>
      <c r="P61" s="272" t="s">
        <v>111</v>
      </c>
      <c r="Q61" s="272" t="s">
        <v>111</v>
      </c>
      <c r="R61" s="272" t="s">
        <v>111</v>
      </c>
      <c r="S61" s="271" t="s">
        <v>111</v>
      </c>
      <c r="T61" s="273"/>
      <c r="V61" s="273"/>
      <c r="AC61" s="269"/>
    </row>
    <row r="62" spans="8:29" x14ac:dyDescent="0.3">
      <c r="H62" s="273" t="s">
        <v>270</v>
      </c>
      <c r="I62" s="144" t="s">
        <v>172</v>
      </c>
      <c r="J62" s="271" t="s">
        <v>222</v>
      </c>
      <c r="K62" s="273" t="s">
        <v>221</v>
      </c>
      <c r="L62" s="272" t="s">
        <v>111</v>
      </c>
      <c r="M62" s="272" t="s">
        <v>111</v>
      </c>
      <c r="N62" s="272" t="s">
        <v>111</v>
      </c>
      <c r="O62" s="272" t="s">
        <v>111</v>
      </c>
      <c r="P62" s="272" t="s">
        <v>111</v>
      </c>
      <c r="Q62" s="272" t="s">
        <v>111</v>
      </c>
      <c r="R62" s="272" t="s">
        <v>111</v>
      </c>
      <c r="S62" s="271" t="s">
        <v>111</v>
      </c>
      <c r="T62" s="273"/>
      <c r="V62" s="273"/>
      <c r="AC62" s="269"/>
    </row>
    <row r="63" spans="8:29" x14ac:dyDescent="0.3">
      <c r="H63" s="273" t="s">
        <v>270</v>
      </c>
      <c r="I63" s="144" t="s">
        <v>172</v>
      </c>
      <c r="J63" s="271" t="s">
        <v>222</v>
      </c>
      <c r="K63" s="273" t="s">
        <v>212</v>
      </c>
      <c r="L63" s="272" t="s">
        <v>111</v>
      </c>
      <c r="M63" s="272" t="s">
        <v>111</v>
      </c>
      <c r="N63" s="272" t="s">
        <v>111</v>
      </c>
      <c r="O63" s="272" t="s">
        <v>111</v>
      </c>
      <c r="P63" s="272" t="s">
        <v>111</v>
      </c>
      <c r="Q63" s="272" t="s">
        <v>111</v>
      </c>
      <c r="R63" s="272" t="s">
        <v>111</v>
      </c>
      <c r="S63" s="271" t="s">
        <v>111</v>
      </c>
      <c r="T63" s="273"/>
      <c r="V63" s="273"/>
      <c r="AC63" s="269"/>
    </row>
    <row r="64" spans="8:29" x14ac:dyDescent="0.3">
      <c r="H64" s="273" t="s">
        <v>270</v>
      </c>
      <c r="I64" s="144" t="s">
        <v>172</v>
      </c>
      <c r="J64" s="271" t="s">
        <v>222</v>
      </c>
      <c r="K64" s="273" t="s">
        <v>203</v>
      </c>
      <c r="L64" s="272" t="s">
        <v>111</v>
      </c>
      <c r="M64" s="272" t="s">
        <v>111</v>
      </c>
      <c r="N64" s="272" t="s">
        <v>111</v>
      </c>
      <c r="O64" s="272" t="s">
        <v>111</v>
      </c>
      <c r="P64" s="272" t="s">
        <v>111</v>
      </c>
      <c r="Q64" s="272" t="s">
        <v>111</v>
      </c>
      <c r="R64" s="272" t="s">
        <v>111</v>
      </c>
      <c r="S64" s="271" t="s">
        <v>111</v>
      </c>
      <c r="T64" s="273"/>
      <c r="V64" s="273"/>
      <c r="AC64" s="269"/>
    </row>
    <row r="65" spans="8:29" x14ac:dyDescent="0.3">
      <c r="T65" s="273"/>
      <c r="V65" s="273"/>
      <c r="AC65" s="269"/>
    </row>
    <row r="66" spans="8:29" x14ac:dyDescent="0.3">
      <c r="T66" s="273"/>
      <c r="V66" s="273"/>
      <c r="AC66" s="269"/>
    </row>
    <row r="67" spans="8:29" x14ac:dyDescent="0.3">
      <c r="T67" s="273"/>
      <c r="V67" s="273"/>
      <c r="AC67" s="269"/>
    </row>
    <row r="68" spans="8:29" x14ac:dyDescent="0.3">
      <c r="T68" s="273"/>
      <c r="V68" s="273"/>
      <c r="AC68" s="269"/>
    </row>
    <row r="69" spans="8:29" x14ac:dyDescent="0.3">
      <c r="T69" s="273"/>
      <c r="V69" s="273"/>
      <c r="AC69" s="269"/>
    </row>
    <row r="70" spans="8:29" x14ac:dyDescent="0.3">
      <c r="H70" s="273"/>
      <c r="J70" s="271"/>
      <c r="K70" s="273"/>
      <c r="L70" s="272"/>
      <c r="M70" s="272"/>
      <c r="N70" s="272"/>
      <c r="O70" s="275"/>
      <c r="Q70" s="272"/>
      <c r="R70" s="274"/>
      <c r="S70" s="271"/>
      <c r="T70" s="273"/>
      <c r="V70" s="273"/>
      <c r="AC70" s="269"/>
    </row>
    <row r="71" spans="8:29" x14ac:dyDescent="0.3">
      <c r="H71" s="273"/>
      <c r="J71" s="271"/>
      <c r="K71" s="273"/>
      <c r="L71" s="272"/>
      <c r="M71" s="272"/>
      <c r="N71" s="272"/>
      <c r="O71" s="275"/>
      <c r="Q71" s="272"/>
      <c r="R71" s="274"/>
      <c r="S71" s="271"/>
      <c r="T71" s="273"/>
      <c r="V71" s="273"/>
      <c r="AC71" s="269"/>
    </row>
    <row r="72" spans="8:29" x14ac:dyDescent="0.3">
      <c r="H72" s="273"/>
      <c r="J72" s="271"/>
      <c r="K72" s="273"/>
      <c r="L72" s="272"/>
      <c r="M72" s="272"/>
      <c r="N72" s="272"/>
      <c r="O72" s="275"/>
      <c r="R72" s="274"/>
      <c r="S72" s="271"/>
      <c r="T72" s="273"/>
      <c r="V72" s="273"/>
      <c r="AC72" s="269"/>
    </row>
    <row r="73" spans="8:29" x14ac:dyDescent="0.3">
      <c r="H73" s="273"/>
      <c r="J73" s="271"/>
      <c r="K73" s="273"/>
      <c r="L73" s="272"/>
      <c r="M73" s="272"/>
      <c r="N73" s="272"/>
      <c r="O73" s="275"/>
      <c r="R73" s="274"/>
      <c r="S73" s="271"/>
    </row>
    <row r="74" spans="8:29" x14ac:dyDescent="0.3">
      <c r="H74" s="273"/>
      <c r="J74" s="271"/>
      <c r="K74" s="273"/>
      <c r="L74" s="272"/>
      <c r="M74" s="272"/>
      <c r="N74" s="272"/>
      <c r="O74" s="275"/>
      <c r="R74" s="274"/>
      <c r="S74" s="271"/>
    </row>
    <row r="75" spans="8:29" x14ac:dyDescent="0.3">
      <c r="H75" s="273"/>
      <c r="J75" s="271"/>
      <c r="K75" s="273"/>
      <c r="L75" s="272"/>
      <c r="M75" s="272"/>
      <c r="N75" s="272"/>
      <c r="O75" s="275"/>
      <c r="R75" s="274"/>
      <c r="S75" s="271"/>
    </row>
    <row r="76" spans="8:29" x14ac:dyDescent="0.3">
      <c r="H76" s="273"/>
      <c r="J76" s="271"/>
      <c r="K76" s="273"/>
      <c r="L76" s="272"/>
      <c r="M76" s="272"/>
      <c r="N76" s="272"/>
      <c r="O76" s="272"/>
      <c r="P76" s="272"/>
      <c r="Q76" s="272"/>
      <c r="R76" s="272"/>
      <c r="S76" s="271"/>
    </row>
    <row r="77" spans="8:29" x14ac:dyDescent="0.3">
      <c r="H77" s="273"/>
      <c r="J77" s="271"/>
      <c r="K77" s="273"/>
      <c r="L77" s="272"/>
      <c r="M77" s="272"/>
      <c r="N77" s="272"/>
      <c r="O77" s="272"/>
      <c r="P77" s="272"/>
      <c r="Q77" s="272"/>
      <c r="R77" s="272"/>
      <c r="S77" s="271"/>
    </row>
    <row r="78" spans="8:29" x14ac:dyDescent="0.3">
      <c r="H78" s="273"/>
      <c r="J78" s="271"/>
      <c r="K78" s="273"/>
      <c r="L78" s="272"/>
      <c r="M78" s="272"/>
      <c r="N78" s="272"/>
      <c r="O78" s="272"/>
      <c r="P78" s="272"/>
      <c r="Q78" s="272"/>
      <c r="R78" s="272"/>
      <c r="S78" s="271"/>
    </row>
  </sheetData>
  <mergeCells count="4">
    <mergeCell ref="C1:E1"/>
    <mergeCell ref="F1:G1"/>
    <mergeCell ref="H1:S1"/>
    <mergeCell ref="T1:A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1C3C-B890-4991-97A4-251B8F444A40}">
  <dimension ref="A1:F69"/>
  <sheetViews>
    <sheetView workbookViewId="0">
      <selection activeCell="A22" sqref="A22:F24"/>
    </sheetView>
  </sheetViews>
  <sheetFormatPr baseColWidth="10" defaultRowHeight="14.4" x14ac:dyDescent="0.3"/>
  <cols>
    <col min="1" max="1" width="11.5546875" style="6"/>
    <col min="2" max="2" width="11.5546875" style="144"/>
    <col min="3" max="3" width="14.77734375" style="8" customWidth="1"/>
    <col min="4" max="4" width="11.5546875" style="6"/>
    <col min="5" max="5" width="11.5546875" style="144"/>
    <col min="6" max="6" width="17.33203125" style="8" customWidth="1"/>
    <col min="7" max="16384" width="11.5546875" style="144"/>
  </cols>
  <sheetData>
    <row r="1" spans="1:6" ht="18" x14ac:dyDescent="0.35">
      <c r="A1" s="459" t="s">
        <v>515</v>
      </c>
      <c r="B1" s="460"/>
      <c r="C1" s="461"/>
      <c r="D1" s="459" t="s">
        <v>514</v>
      </c>
      <c r="E1" s="460"/>
      <c r="F1" s="461"/>
    </row>
    <row r="2" spans="1:6" ht="15.6" x14ac:dyDescent="0.3">
      <c r="A2" s="462" t="s">
        <v>513</v>
      </c>
      <c r="B2" s="463"/>
      <c r="C2" s="464"/>
      <c r="D2" s="462" t="s">
        <v>512</v>
      </c>
      <c r="E2" s="463"/>
      <c r="F2" s="464"/>
    </row>
    <row r="3" spans="1:6" x14ac:dyDescent="0.3">
      <c r="A3" s="320" t="s">
        <v>15</v>
      </c>
      <c r="B3" s="319" t="s">
        <v>432</v>
      </c>
      <c r="C3" s="321" t="s">
        <v>511</v>
      </c>
      <c r="D3" s="320" t="s">
        <v>15</v>
      </c>
      <c r="E3" s="319" t="s">
        <v>432</v>
      </c>
      <c r="F3" s="318" t="s">
        <v>510</v>
      </c>
    </row>
    <row r="4" spans="1:6" x14ac:dyDescent="0.3">
      <c r="A4" s="144" t="s">
        <v>94</v>
      </c>
      <c r="B4" s="144" t="s">
        <v>221</v>
      </c>
      <c r="C4" s="311">
        <v>1</v>
      </c>
      <c r="D4" s="144" t="s">
        <v>94</v>
      </c>
      <c r="E4" s="144" t="s">
        <v>221</v>
      </c>
      <c r="F4" s="311">
        <v>1</v>
      </c>
    </row>
    <row r="5" spans="1:6" x14ac:dyDescent="0.3">
      <c r="A5" s="144" t="s">
        <v>94</v>
      </c>
      <c r="B5" s="144" t="s">
        <v>212</v>
      </c>
      <c r="C5" s="311">
        <v>1</v>
      </c>
      <c r="D5" s="144" t="s">
        <v>94</v>
      </c>
      <c r="E5" s="144" t="s">
        <v>212</v>
      </c>
      <c r="F5" s="311">
        <v>1</v>
      </c>
    </row>
    <row r="6" spans="1:6" x14ac:dyDescent="0.3">
      <c r="A6" s="144" t="s">
        <v>94</v>
      </c>
      <c r="B6" s="144" t="s">
        <v>203</v>
      </c>
      <c r="C6" s="311">
        <v>1</v>
      </c>
      <c r="D6" s="144" t="s">
        <v>94</v>
      </c>
      <c r="E6" s="144" t="s">
        <v>203</v>
      </c>
      <c r="F6" s="311">
        <v>1</v>
      </c>
    </row>
    <row r="7" spans="1:6" x14ac:dyDescent="0.3">
      <c r="A7" s="144" t="s">
        <v>95</v>
      </c>
      <c r="B7" s="144" t="s">
        <v>221</v>
      </c>
      <c r="C7" s="311">
        <v>1</v>
      </c>
      <c r="D7" s="144" t="s">
        <v>95</v>
      </c>
      <c r="E7" s="144" t="s">
        <v>221</v>
      </c>
      <c r="F7" s="311">
        <v>1</v>
      </c>
    </row>
    <row r="8" spans="1:6" x14ac:dyDescent="0.3">
      <c r="A8" s="144" t="s">
        <v>95</v>
      </c>
      <c r="B8" s="144" t="s">
        <v>212</v>
      </c>
      <c r="C8" s="311">
        <v>1</v>
      </c>
      <c r="D8" s="144" t="s">
        <v>95</v>
      </c>
      <c r="E8" s="144" t="s">
        <v>212</v>
      </c>
      <c r="F8" s="311">
        <v>1</v>
      </c>
    </row>
    <row r="9" spans="1:6" x14ac:dyDescent="0.3">
      <c r="A9" s="144" t="s">
        <v>95</v>
      </c>
      <c r="B9" s="144" t="s">
        <v>203</v>
      </c>
      <c r="C9" s="311">
        <v>1</v>
      </c>
      <c r="D9" s="144" t="s">
        <v>95</v>
      </c>
      <c r="E9" s="144" t="s">
        <v>203</v>
      </c>
      <c r="F9" s="311">
        <v>1</v>
      </c>
    </row>
    <row r="10" spans="1:6" x14ac:dyDescent="0.3">
      <c r="A10" s="144" t="s">
        <v>98</v>
      </c>
      <c r="B10" s="144" t="s">
        <v>221</v>
      </c>
      <c r="C10" s="311">
        <v>1</v>
      </c>
      <c r="D10" s="144" t="s">
        <v>98</v>
      </c>
      <c r="E10" s="144" t="s">
        <v>221</v>
      </c>
      <c r="F10" s="311">
        <v>1</v>
      </c>
    </row>
    <row r="11" spans="1:6" x14ac:dyDescent="0.3">
      <c r="A11" s="144" t="s">
        <v>98</v>
      </c>
      <c r="B11" s="144" t="s">
        <v>212</v>
      </c>
      <c r="C11" s="311">
        <v>1</v>
      </c>
      <c r="D11" s="144" t="s">
        <v>98</v>
      </c>
      <c r="E11" s="144" t="s">
        <v>212</v>
      </c>
      <c r="F11" s="311">
        <v>1</v>
      </c>
    </row>
    <row r="12" spans="1:6" x14ac:dyDescent="0.3">
      <c r="A12" s="144" t="s">
        <v>96</v>
      </c>
      <c r="B12" s="144" t="s">
        <v>221</v>
      </c>
      <c r="C12" s="311">
        <v>1</v>
      </c>
      <c r="D12" s="144" t="s">
        <v>96</v>
      </c>
      <c r="E12" s="144" t="s">
        <v>221</v>
      </c>
      <c r="F12" s="311">
        <v>1</v>
      </c>
    </row>
    <row r="13" spans="1:6" x14ac:dyDescent="0.3">
      <c r="A13" s="144" t="s">
        <v>96</v>
      </c>
      <c r="B13" s="144" t="s">
        <v>212</v>
      </c>
      <c r="C13" s="311">
        <v>1</v>
      </c>
      <c r="D13" s="144" t="s">
        <v>96</v>
      </c>
      <c r="E13" s="144" t="s">
        <v>212</v>
      </c>
      <c r="F13" s="311">
        <v>1</v>
      </c>
    </row>
    <row r="14" spans="1:6" x14ac:dyDescent="0.3">
      <c r="A14" s="144" t="s">
        <v>97</v>
      </c>
      <c r="B14" s="144" t="s">
        <v>221</v>
      </c>
      <c r="C14" s="311">
        <v>1</v>
      </c>
      <c r="D14" s="144" t="s">
        <v>97</v>
      </c>
      <c r="E14" s="144" t="s">
        <v>221</v>
      </c>
      <c r="F14" s="311">
        <v>1</v>
      </c>
    </row>
    <row r="15" spans="1:6" x14ac:dyDescent="0.3">
      <c r="A15" s="144" t="s">
        <v>97</v>
      </c>
      <c r="B15" s="144" t="s">
        <v>212</v>
      </c>
      <c r="C15" s="311">
        <v>1</v>
      </c>
      <c r="D15" s="144" t="s">
        <v>97</v>
      </c>
      <c r="E15" s="144" t="s">
        <v>212</v>
      </c>
      <c r="F15" s="311">
        <v>1</v>
      </c>
    </row>
    <row r="16" spans="1:6" x14ac:dyDescent="0.3">
      <c r="A16" s="144" t="s">
        <v>99</v>
      </c>
      <c r="B16" s="144" t="s">
        <v>221</v>
      </c>
      <c r="C16" s="311">
        <v>1</v>
      </c>
      <c r="D16" s="144" t="s">
        <v>99</v>
      </c>
      <c r="E16" s="144" t="s">
        <v>221</v>
      </c>
      <c r="F16" s="311">
        <v>1</v>
      </c>
    </row>
    <row r="17" spans="1:6" x14ac:dyDescent="0.3">
      <c r="A17" s="144" t="s">
        <v>99</v>
      </c>
      <c r="B17" s="144" t="s">
        <v>212</v>
      </c>
      <c r="C17" s="311">
        <v>1</v>
      </c>
      <c r="D17" s="144" t="s">
        <v>99</v>
      </c>
      <c r="E17" s="144" t="s">
        <v>212</v>
      </c>
      <c r="F17" s="311">
        <v>1</v>
      </c>
    </row>
    <row r="18" spans="1:6" x14ac:dyDescent="0.3">
      <c r="A18" s="144" t="s">
        <v>99</v>
      </c>
      <c r="B18" s="144" t="s">
        <v>203</v>
      </c>
      <c r="C18" s="311">
        <v>1</v>
      </c>
      <c r="D18" s="144" t="s">
        <v>99</v>
      </c>
      <c r="E18" s="144" t="s">
        <v>203</v>
      </c>
      <c r="F18" s="311">
        <v>1</v>
      </c>
    </row>
    <row r="19" spans="1:6" x14ac:dyDescent="0.3">
      <c r="A19" s="144" t="s">
        <v>100</v>
      </c>
      <c r="B19" s="144" t="s">
        <v>221</v>
      </c>
      <c r="C19" s="311">
        <v>1</v>
      </c>
      <c r="D19" s="144" t="s">
        <v>100</v>
      </c>
      <c r="E19" s="144" t="s">
        <v>221</v>
      </c>
      <c r="F19" s="311">
        <v>1</v>
      </c>
    </row>
    <row r="20" spans="1:6" x14ac:dyDescent="0.3">
      <c r="A20" s="144" t="s">
        <v>100</v>
      </c>
      <c r="B20" s="144" t="s">
        <v>212</v>
      </c>
      <c r="C20" s="311">
        <v>1</v>
      </c>
      <c r="D20" s="144" t="s">
        <v>100</v>
      </c>
      <c r="E20" s="144" t="s">
        <v>212</v>
      </c>
      <c r="F20" s="311">
        <v>1</v>
      </c>
    </row>
    <row r="21" spans="1:6" x14ac:dyDescent="0.3">
      <c r="A21" s="144" t="s">
        <v>100</v>
      </c>
      <c r="B21" s="144" t="s">
        <v>203</v>
      </c>
      <c r="C21" s="311">
        <v>1</v>
      </c>
      <c r="D21" s="144" t="s">
        <v>100</v>
      </c>
      <c r="E21" s="144" t="s">
        <v>203</v>
      </c>
      <c r="F21" s="311">
        <v>1</v>
      </c>
    </row>
    <row r="22" spans="1:6" ht="15.6" x14ac:dyDescent="0.3">
      <c r="A22" s="317"/>
      <c r="B22" s="316"/>
      <c r="C22" s="311"/>
      <c r="D22" s="317"/>
      <c r="E22" s="316"/>
      <c r="F22" s="311"/>
    </row>
    <row r="23" spans="1:6" ht="15.6" x14ac:dyDescent="0.3">
      <c r="A23" s="317"/>
      <c r="B23" s="316"/>
      <c r="C23" s="311"/>
      <c r="D23" s="317"/>
      <c r="E23" s="316"/>
      <c r="F23" s="311"/>
    </row>
    <row r="24" spans="1:6" ht="15.6" x14ac:dyDescent="0.3">
      <c r="A24" s="317"/>
      <c r="B24" s="316"/>
      <c r="C24" s="311"/>
      <c r="D24" s="317"/>
      <c r="E24" s="316"/>
      <c r="F24" s="311"/>
    </row>
    <row r="25" spans="1:6" ht="15.6" x14ac:dyDescent="0.3">
      <c r="A25" s="315"/>
      <c r="B25" s="314"/>
      <c r="C25" s="311"/>
      <c r="D25" s="315"/>
      <c r="E25" s="314"/>
      <c r="F25" s="311"/>
    </row>
    <row r="26" spans="1:6" ht="15.6" x14ac:dyDescent="0.3">
      <c r="A26" s="313"/>
      <c r="B26" s="312"/>
      <c r="C26" s="311"/>
      <c r="D26" s="313"/>
      <c r="E26" s="312"/>
      <c r="F26" s="311"/>
    </row>
    <row r="27" spans="1:6" ht="15.6" x14ac:dyDescent="0.3">
      <c r="A27" s="313"/>
      <c r="B27" s="312"/>
      <c r="C27" s="311"/>
      <c r="D27" s="313"/>
      <c r="E27" s="312"/>
      <c r="F27" s="311"/>
    </row>
    <row r="28" spans="1:6" ht="15.6" x14ac:dyDescent="0.3">
      <c r="A28" s="313"/>
      <c r="B28" s="312"/>
      <c r="C28" s="311"/>
      <c r="D28" s="313"/>
      <c r="E28" s="312"/>
      <c r="F28" s="311"/>
    </row>
    <row r="29" spans="1:6" ht="15.6" x14ac:dyDescent="0.3">
      <c r="A29" s="313"/>
      <c r="B29" s="312"/>
      <c r="C29" s="311"/>
      <c r="D29" s="313"/>
      <c r="E29" s="312"/>
      <c r="F29" s="311"/>
    </row>
    <row r="30" spans="1:6" ht="15.6" x14ac:dyDescent="0.3">
      <c r="A30" s="313"/>
      <c r="B30" s="312"/>
      <c r="C30" s="311"/>
      <c r="D30" s="313"/>
      <c r="E30" s="312"/>
      <c r="F30" s="311"/>
    </row>
    <row r="31" spans="1:6" ht="15.6" x14ac:dyDescent="0.3">
      <c r="A31" s="313"/>
      <c r="B31" s="312"/>
      <c r="C31" s="311"/>
      <c r="D31" s="313"/>
      <c r="E31" s="312"/>
      <c r="F31" s="311"/>
    </row>
    <row r="32" spans="1:6" ht="15.6" x14ac:dyDescent="0.3">
      <c r="A32" s="313"/>
      <c r="B32" s="312"/>
      <c r="C32" s="311"/>
      <c r="D32" s="313"/>
      <c r="E32" s="312"/>
      <c r="F32" s="311"/>
    </row>
    <row r="33" spans="1:6" ht="15.6" x14ac:dyDescent="0.3">
      <c r="A33" s="313"/>
      <c r="B33" s="312"/>
      <c r="C33" s="311"/>
      <c r="D33" s="313"/>
      <c r="E33" s="312"/>
      <c r="F33" s="311"/>
    </row>
    <row r="34" spans="1:6" ht="15.6" x14ac:dyDescent="0.3">
      <c r="A34" s="313"/>
      <c r="B34" s="312"/>
      <c r="C34" s="311"/>
      <c r="D34" s="313"/>
      <c r="E34" s="312"/>
      <c r="F34" s="311"/>
    </row>
    <row r="35" spans="1:6" ht="15.6" x14ac:dyDescent="0.3">
      <c r="A35" s="313"/>
      <c r="B35" s="312"/>
      <c r="C35" s="311"/>
      <c r="D35" s="313"/>
      <c r="E35" s="312"/>
      <c r="F35" s="311"/>
    </row>
    <row r="36" spans="1:6" ht="15.6" x14ac:dyDescent="0.3">
      <c r="A36" s="313"/>
      <c r="B36" s="312"/>
      <c r="C36" s="311"/>
      <c r="D36" s="313"/>
      <c r="E36" s="312"/>
      <c r="F36" s="311"/>
    </row>
    <row r="37" spans="1:6" ht="15.6" x14ac:dyDescent="0.3">
      <c r="A37" s="313"/>
      <c r="B37" s="312"/>
      <c r="C37" s="311"/>
      <c r="D37" s="313"/>
      <c r="E37" s="312"/>
      <c r="F37" s="311"/>
    </row>
    <row r="38" spans="1:6" ht="15.6" x14ac:dyDescent="0.3">
      <c r="A38" s="313"/>
      <c r="B38" s="312"/>
      <c r="C38" s="311"/>
      <c r="D38" s="313"/>
      <c r="E38" s="312"/>
      <c r="F38" s="311"/>
    </row>
    <row r="39" spans="1:6" ht="15.6" x14ac:dyDescent="0.3">
      <c r="A39" s="313"/>
      <c r="B39" s="312"/>
      <c r="C39" s="311"/>
      <c r="D39" s="313"/>
      <c r="E39" s="312"/>
      <c r="F39" s="311"/>
    </row>
    <row r="40" spans="1:6" ht="15.6" x14ac:dyDescent="0.3">
      <c r="A40" s="313"/>
      <c r="B40" s="312"/>
      <c r="C40" s="311"/>
      <c r="D40" s="313"/>
      <c r="E40" s="312"/>
      <c r="F40" s="311"/>
    </row>
    <row r="41" spans="1:6" ht="15.6" x14ac:dyDescent="0.3">
      <c r="A41" s="313"/>
      <c r="B41" s="312"/>
      <c r="C41" s="311"/>
      <c r="D41" s="313"/>
      <c r="E41" s="312"/>
      <c r="F41" s="311"/>
    </row>
    <row r="42" spans="1:6" ht="15.6" x14ac:dyDescent="0.3">
      <c r="A42" s="313"/>
      <c r="B42" s="312"/>
      <c r="C42" s="311"/>
      <c r="D42" s="313"/>
      <c r="E42" s="312"/>
      <c r="F42" s="311"/>
    </row>
    <row r="43" spans="1:6" ht="15.6" x14ac:dyDescent="0.3">
      <c r="A43" s="313"/>
      <c r="B43" s="312"/>
      <c r="C43" s="311"/>
      <c r="D43" s="313"/>
      <c r="E43" s="312"/>
      <c r="F43" s="311"/>
    </row>
    <row r="44" spans="1:6" ht="15.6" x14ac:dyDescent="0.3">
      <c r="A44" s="313"/>
      <c r="B44" s="312"/>
      <c r="C44" s="311"/>
      <c r="D44" s="313"/>
      <c r="E44" s="312"/>
      <c r="F44" s="311"/>
    </row>
    <row r="45" spans="1:6" ht="15.6" x14ac:dyDescent="0.3">
      <c r="A45" s="313"/>
      <c r="B45" s="312"/>
      <c r="C45" s="311"/>
      <c r="D45" s="313"/>
      <c r="E45" s="312"/>
      <c r="F45" s="311"/>
    </row>
    <row r="46" spans="1:6" ht="15.6" x14ac:dyDescent="0.3">
      <c r="A46" s="313"/>
      <c r="B46" s="312"/>
      <c r="C46" s="311"/>
      <c r="D46" s="313"/>
      <c r="E46" s="312"/>
      <c r="F46" s="311"/>
    </row>
    <row r="47" spans="1:6" ht="15.6" x14ac:dyDescent="0.3">
      <c r="A47" s="313"/>
      <c r="B47" s="312"/>
      <c r="C47" s="311"/>
      <c r="D47" s="313"/>
      <c r="E47" s="312"/>
      <c r="F47" s="311"/>
    </row>
    <row r="48" spans="1:6" ht="15.6" x14ac:dyDescent="0.3">
      <c r="A48" s="313"/>
      <c r="B48" s="312"/>
      <c r="C48" s="311"/>
      <c r="D48" s="313"/>
      <c r="E48" s="312"/>
      <c r="F48" s="311"/>
    </row>
    <row r="49" spans="1:6" ht="15.6" x14ac:dyDescent="0.3">
      <c r="A49" s="313"/>
      <c r="B49" s="312"/>
      <c r="C49" s="311"/>
      <c r="D49" s="313"/>
      <c r="E49" s="312"/>
      <c r="F49" s="311"/>
    </row>
    <row r="50" spans="1:6" ht="15.6" x14ac:dyDescent="0.3">
      <c r="A50" s="313"/>
      <c r="B50" s="312"/>
      <c r="C50" s="311"/>
      <c r="D50" s="313"/>
      <c r="E50" s="312"/>
      <c r="F50" s="311"/>
    </row>
    <row r="51" spans="1:6" ht="15.6" x14ac:dyDescent="0.3">
      <c r="A51" s="313"/>
      <c r="B51" s="312"/>
      <c r="C51" s="311"/>
      <c r="D51" s="313"/>
      <c r="E51" s="312"/>
      <c r="F51" s="311"/>
    </row>
    <row r="52" spans="1:6" ht="15.6" x14ac:dyDescent="0.3">
      <c r="A52" s="313"/>
      <c r="B52" s="312"/>
      <c r="C52" s="311"/>
      <c r="D52" s="313"/>
      <c r="E52" s="312"/>
      <c r="F52" s="311"/>
    </row>
    <row r="53" spans="1:6" ht="15.6" x14ac:dyDescent="0.3">
      <c r="A53" s="313"/>
      <c r="B53" s="312"/>
      <c r="C53" s="311"/>
      <c r="D53" s="313"/>
      <c r="E53" s="312"/>
      <c r="F53" s="311"/>
    </row>
    <row r="54" spans="1:6" ht="15.6" x14ac:dyDescent="0.3">
      <c r="A54" s="313"/>
      <c r="B54" s="312"/>
      <c r="C54" s="311"/>
      <c r="D54" s="313"/>
      <c r="E54" s="312"/>
      <c r="F54" s="311"/>
    </row>
    <row r="55" spans="1:6" ht="15.6" x14ac:dyDescent="0.3">
      <c r="A55" s="313"/>
      <c r="B55" s="312"/>
      <c r="C55" s="311"/>
      <c r="D55" s="313"/>
      <c r="E55" s="312"/>
      <c r="F55" s="311"/>
    </row>
    <row r="56" spans="1:6" ht="15.6" x14ac:dyDescent="0.3">
      <c r="A56" s="313"/>
      <c r="B56" s="312"/>
      <c r="C56" s="311"/>
      <c r="D56" s="313"/>
      <c r="E56" s="312"/>
      <c r="F56" s="311"/>
    </row>
    <row r="57" spans="1:6" ht="15.6" x14ac:dyDescent="0.3">
      <c r="A57" s="313"/>
      <c r="B57" s="312"/>
      <c r="C57" s="311"/>
      <c r="D57" s="313"/>
      <c r="E57" s="312"/>
      <c r="F57" s="311"/>
    </row>
    <row r="58" spans="1:6" ht="15.6" x14ac:dyDescent="0.3">
      <c r="A58" s="313"/>
      <c r="B58" s="312"/>
      <c r="C58" s="311"/>
      <c r="D58" s="313"/>
      <c r="E58" s="312"/>
      <c r="F58" s="311"/>
    </row>
    <row r="59" spans="1:6" ht="15.6" x14ac:dyDescent="0.3">
      <c r="A59" s="313"/>
      <c r="B59" s="312"/>
      <c r="C59" s="311"/>
      <c r="D59" s="313"/>
      <c r="E59" s="312"/>
      <c r="F59" s="311"/>
    </row>
    <row r="60" spans="1:6" ht="15.6" x14ac:dyDescent="0.3">
      <c r="A60" s="313"/>
      <c r="B60" s="312"/>
      <c r="C60" s="311"/>
      <c r="D60" s="313"/>
      <c r="E60" s="312"/>
      <c r="F60" s="311"/>
    </row>
    <row r="61" spans="1:6" ht="15.6" x14ac:dyDescent="0.3">
      <c r="A61" s="313"/>
      <c r="B61" s="312"/>
      <c r="C61" s="311"/>
      <c r="D61" s="313"/>
      <c r="E61" s="312"/>
      <c r="F61" s="311"/>
    </row>
    <row r="62" spans="1:6" ht="15.6" x14ac:dyDescent="0.3">
      <c r="A62" s="313"/>
      <c r="B62" s="312"/>
      <c r="C62" s="311"/>
      <c r="D62" s="313"/>
      <c r="E62" s="312"/>
      <c r="F62" s="311"/>
    </row>
    <row r="63" spans="1:6" ht="15.6" x14ac:dyDescent="0.3">
      <c r="A63" s="313"/>
      <c r="B63" s="312"/>
      <c r="C63" s="311"/>
      <c r="D63" s="313"/>
      <c r="E63" s="312"/>
      <c r="F63" s="311"/>
    </row>
    <row r="64" spans="1:6" ht="15.6" x14ac:dyDescent="0.3">
      <c r="A64" s="313"/>
      <c r="B64" s="312"/>
      <c r="C64" s="311"/>
      <c r="D64" s="313"/>
      <c r="E64" s="312"/>
      <c r="F64" s="311"/>
    </row>
    <row r="65" spans="1:6" ht="15.6" x14ac:dyDescent="0.3">
      <c r="A65" s="313"/>
      <c r="B65" s="312"/>
      <c r="C65" s="311"/>
      <c r="D65" s="313"/>
      <c r="E65" s="312"/>
      <c r="F65" s="311"/>
    </row>
    <row r="66" spans="1:6" ht="15.6" x14ac:dyDescent="0.3">
      <c r="A66" s="313"/>
      <c r="B66" s="312"/>
      <c r="C66" s="311"/>
      <c r="D66" s="313"/>
      <c r="E66" s="312"/>
      <c r="F66" s="311"/>
    </row>
    <row r="67" spans="1:6" ht="15.6" x14ac:dyDescent="0.3">
      <c r="A67" s="313"/>
      <c r="B67" s="312"/>
      <c r="C67" s="311"/>
      <c r="D67" s="313"/>
      <c r="E67" s="312"/>
      <c r="F67" s="311"/>
    </row>
    <row r="68" spans="1:6" ht="15.6" x14ac:dyDescent="0.3">
      <c r="A68" s="313"/>
      <c r="B68" s="312"/>
      <c r="C68" s="311"/>
      <c r="D68" s="313"/>
      <c r="E68" s="312"/>
      <c r="F68" s="311"/>
    </row>
    <row r="69" spans="1:6" ht="15.6" x14ac:dyDescent="0.3">
      <c r="A69" s="313"/>
      <c r="B69" s="312"/>
      <c r="C69" s="311"/>
      <c r="D69" s="313"/>
      <c r="E69" s="312"/>
      <c r="F69" s="311"/>
    </row>
  </sheetData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AB38-6E92-46AF-B7FE-411E027A4EDD}">
  <dimension ref="A1:AZ95"/>
  <sheetViews>
    <sheetView topLeftCell="E30" zoomScale="70" zoomScaleNormal="70" workbookViewId="0">
      <selection activeCell="O40" sqref="O40:Z58"/>
    </sheetView>
  </sheetViews>
  <sheetFormatPr baseColWidth="10" defaultColWidth="11.44140625" defaultRowHeight="15.6" x14ac:dyDescent="0.3"/>
  <cols>
    <col min="1" max="1" width="11.6640625" style="6" bestFit="1" customWidth="1"/>
    <col min="2" max="8" width="12" style="144" bestFit="1" customWidth="1"/>
    <col min="9" max="11" width="12.109375" style="144" bestFit="1" customWidth="1"/>
    <col min="12" max="12" width="12" style="144" bestFit="1" customWidth="1"/>
    <col min="13" max="13" width="12.109375" style="8" bestFit="1" customWidth="1"/>
    <col min="14" max="20" width="11.44140625" style="144"/>
    <col min="21" max="24" width="12" style="144" bestFit="1" customWidth="1"/>
    <col min="25" max="25" width="11.5546875" style="144" bestFit="1" customWidth="1"/>
    <col min="26" max="26" width="12.109375" style="144" bestFit="1" customWidth="1"/>
    <col min="27" max="27" width="15.6640625" style="322" customWidth="1"/>
    <col min="28" max="28" width="11.44140625" style="144"/>
    <col min="29" max="31" width="11.6640625" style="144" bestFit="1" customWidth="1"/>
    <col min="32" max="32" width="11.88671875" style="8" bestFit="1" customWidth="1"/>
    <col min="33" max="33" width="11.44140625" style="6"/>
    <col min="34" max="34" width="40.33203125" style="8" customWidth="1"/>
    <col min="35" max="35" width="11.44140625" style="6"/>
    <col min="36" max="37" width="20.33203125" style="144" customWidth="1"/>
    <col min="38" max="38" width="11.6640625" style="144" bestFit="1" customWidth="1"/>
    <col min="39" max="39" width="11.6640625" style="144" customWidth="1"/>
    <col min="40" max="40" width="11.6640625" style="144" bestFit="1" customWidth="1"/>
    <col min="41" max="46" width="11.5546875" style="144" bestFit="1" customWidth="1"/>
    <col min="47" max="48" width="11.44140625" style="144"/>
    <col min="49" max="49" width="11.44140625" style="8"/>
    <col min="50" max="50" width="11.44140625" style="6"/>
    <col min="51" max="51" width="15.88671875" style="144" customWidth="1"/>
    <col min="52" max="52" width="16.44140625" style="8" customWidth="1"/>
    <col min="53" max="16384" width="11.44140625" style="144"/>
  </cols>
  <sheetData>
    <row r="1" spans="1:52" ht="18" x14ac:dyDescent="0.35">
      <c r="A1" s="459" t="s">
        <v>552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1"/>
      <c r="N1" s="459" t="s">
        <v>551</v>
      </c>
      <c r="O1" s="460"/>
      <c r="P1" s="460"/>
      <c r="Q1" s="460"/>
      <c r="R1" s="460"/>
      <c r="S1" s="460"/>
      <c r="T1" s="460"/>
      <c r="U1" s="460"/>
      <c r="V1" s="460"/>
      <c r="W1" s="460"/>
      <c r="X1" s="460"/>
      <c r="Y1" s="460"/>
      <c r="Z1" s="461"/>
      <c r="AA1" s="459" t="s">
        <v>550</v>
      </c>
      <c r="AB1" s="460"/>
      <c r="AC1" s="460"/>
      <c r="AD1" s="460"/>
      <c r="AE1" s="460"/>
      <c r="AF1" s="461"/>
      <c r="AG1" s="465" t="s">
        <v>549</v>
      </c>
      <c r="AH1" s="466"/>
      <c r="AI1" s="459" t="s">
        <v>548</v>
      </c>
      <c r="AJ1" s="460"/>
      <c r="AK1" s="460"/>
      <c r="AL1" s="460"/>
      <c r="AM1" s="460"/>
      <c r="AN1" s="460"/>
      <c r="AO1" s="460"/>
      <c r="AP1" s="460"/>
      <c r="AQ1" s="460"/>
      <c r="AR1" s="460"/>
      <c r="AS1" s="460"/>
      <c r="AT1" s="460"/>
      <c r="AU1" s="460"/>
      <c r="AV1" s="460"/>
      <c r="AW1" s="461"/>
      <c r="AX1" s="459" t="s">
        <v>547</v>
      </c>
      <c r="AY1" s="460"/>
      <c r="AZ1" s="461"/>
    </row>
    <row r="2" spans="1:52" s="98" customFormat="1" ht="132.6" customHeight="1" x14ac:dyDescent="0.3">
      <c r="A2" s="48" t="s">
        <v>84</v>
      </c>
      <c r="B2" s="343" t="s">
        <v>85</v>
      </c>
      <c r="C2" s="342" t="s">
        <v>86</v>
      </c>
      <c r="D2" s="341" t="s">
        <v>87</v>
      </c>
      <c r="E2" s="340" t="s">
        <v>88</v>
      </c>
      <c r="F2" s="339" t="s">
        <v>546</v>
      </c>
      <c r="M2" s="334"/>
      <c r="O2" s="339" t="s">
        <v>546</v>
      </c>
      <c r="AA2" s="338"/>
      <c r="AC2" s="336" t="s">
        <v>545</v>
      </c>
      <c r="AD2" s="336" t="s">
        <v>544</v>
      </c>
      <c r="AE2" s="336" t="s">
        <v>543</v>
      </c>
      <c r="AF2" s="337" t="s">
        <v>542</v>
      </c>
      <c r="AG2" s="194" t="s">
        <v>541</v>
      </c>
      <c r="AH2" s="336" t="s">
        <v>540</v>
      </c>
      <c r="AI2" s="335"/>
      <c r="AW2" s="334"/>
      <c r="AX2" s="335"/>
      <c r="AZ2" s="334" t="s">
        <v>539</v>
      </c>
    </row>
    <row r="3" spans="1:52" x14ac:dyDescent="0.3">
      <c r="A3" s="324" t="s">
        <v>538</v>
      </c>
      <c r="B3" s="323" t="s">
        <v>536</v>
      </c>
      <c r="C3" s="323" t="s">
        <v>535</v>
      </c>
      <c r="D3" s="323" t="s">
        <v>534</v>
      </c>
      <c r="E3" s="323" t="s">
        <v>533</v>
      </c>
      <c r="F3" s="323" t="s">
        <v>532</v>
      </c>
      <c r="G3" s="323" t="s">
        <v>531</v>
      </c>
      <c r="H3" s="323" t="s">
        <v>530</v>
      </c>
      <c r="I3" s="323" t="s">
        <v>529</v>
      </c>
      <c r="J3" s="323" t="s">
        <v>528</v>
      </c>
      <c r="K3" s="323" t="s">
        <v>527</v>
      </c>
      <c r="L3" s="323" t="s">
        <v>526</v>
      </c>
      <c r="M3" s="328" t="s">
        <v>525</v>
      </c>
      <c r="N3" s="323" t="s">
        <v>537</v>
      </c>
      <c r="O3" s="323" t="s">
        <v>536</v>
      </c>
      <c r="P3" s="323" t="s">
        <v>535</v>
      </c>
      <c r="Q3" s="323" t="s">
        <v>534</v>
      </c>
      <c r="R3" s="323" t="s">
        <v>533</v>
      </c>
      <c r="S3" s="323" t="s">
        <v>532</v>
      </c>
      <c r="T3" s="323" t="s">
        <v>531</v>
      </c>
      <c r="U3" s="323" t="s">
        <v>530</v>
      </c>
      <c r="V3" s="323" t="s">
        <v>529</v>
      </c>
      <c r="W3" s="323" t="s">
        <v>528</v>
      </c>
      <c r="X3" s="323" t="s">
        <v>527</v>
      </c>
      <c r="Y3" s="323" t="s">
        <v>526</v>
      </c>
      <c r="Z3" s="323" t="s">
        <v>525</v>
      </c>
      <c r="AA3" s="333" t="s">
        <v>15</v>
      </c>
      <c r="AB3" s="332" t="s">
        <v>432</v>
      </c>
      <c r="AC3" s="331" t="s">
        <v>524</v>
      </c>
      <c r="AD3" s="330" t="s">
        <v>523</v>
      </c>
      <c r="AE3" s="330" t="s">
        <v>522</v>
      </c>
      <c r="AF3" s="329" t="s">
        <v>521</v>
      </c>
      <c r="AG3" s="324" t="s">
        <v>305</v>
      </c>
      <c r="AH3" s="328" t="s">
        <v>520</v>
      </c>
      <c r="AI3" s="324" t="s">
        <v>519</v>
      </c>
      <c r="AJ3" s="287" t="s">
        <v>15</v>
      </c>
      <c r="AK3" s="287" t="s">
        <v>432</v>
      </c>
      <c r="AL3" s="323" t="s">
        <v>165</v>
      </c>
      <c r="AM3" s="323" t="s">
        <v>164</v>
      </c>
      <c r="AN3" s="323" t="s">
        <v>163</v>
      </c>
      <c r="AO3" s="323" t="s">
        <v>157</v>
      </c>
      <c r="AP3" s="323" t="s">
        <v>156</v>
      </c>
      <c r="AQ3" s="323" t="s">
        <v>153</v>
      </c>
      <c r="AR3" s="323" t="s">
        <v>151</v>
      </c>
      <c r="AS3" s="323" t="s">
        <v>171</v>
      </c>
      <c r="AT3" s="323" t="s">
        <v>170</v>
      </c>
      <c r="AU3" s="323" t="s">
        <v>168</v>
      </c>
      <c r="AV3" s="323" t="s">
        <v>162</v>
      </c>
      <c r="AW3" s="328" t="s">
        <v>161</v>
      </c>
      <c r="AX3" s="324" t="s">
        <v>518</v>
      </c>
      <c r="AY3" s="323" t="s">
        <v>517</v>
      </c>
      <c r="AZ3" s="328" t="s">
        <v>516</v>
      </c>
    </row>
    <row r="4" spans="1:52" ht="14.4" x14ac:dyDescent="0.3">
      <c r="A4" s="324"/>
      <c r="B4" s="323" t="s">
        <v>165</v>
      </c>
      <c r="C4" s="323" t="s">
        <v>164</v>
      </c>
      <c r="D4" s="323" t="s">
        <v>163</v>
      </c>
      <c r="E4" s="323" t="s">
        <v>157</v>
      </c>
      <c r="F4" s="323" t="s">
        <v>156</v>
      </c>
      <c r="G4" s="323" t="s">
        <v>153</v>
      </c>
      <c r="H4" s="323" t="s">
        <v>151</v>
      </c>
      <c r="I4" s="323" t="s">
        <v>171</v>
      </c>
      <c r="J4" s="323" t="s">
        <v>170</v>
      </c>
      <c r="K4" s="323" t="s">
        <v>168</v>
      </c>
      <c r="L4" s="323" t="s">
        <v>162</v>
      </c>
      <c r="M4" s="328" t="s">
        <v>161</v>
      </c>
      <c r="N4" s="323"/>
      <c r="O4" s="323" t="s">
        <v>165</v>
      </c>
      <c r="P4" s="323" t="s">
        <v>164</v>
      </c>
      <c r="Q4" s="323" t="s">
        <v>163</v>
      </c>
      <c r="R4" s="323" t="s">
        <v>157</v>
      </c>
      <c r="S4" s="323" t="s">
        <v>156</v>
      </c>
      <c r="T4" s="323" t="s">
        <v>153</v>
      </c>
      <c r="U4" s="323" t="s">
        <v>151</v>
      </c>
      <c r="V4" s="323" t="s">
        <v>171</v>
      </c>
      <c r="W4" s="323" t="s">
        <v>170</v>
      </c>
      <c r="X4" s="323" t="s">
        <v>168</v>
      </c>
      <c r="Y4" s="323" t="s">
        <v>162</v>
      </c>
      <c r="Z4" s="323" t="s">
        <v>161</v>
      </c>
      <c r="AA4" s="144" t="s">
        <v>94</v>
      </c>
      <c r="AB4" s="144" t="s">
        <v>221</v>
      </c>
      <c r="AC4" s="144">
        <v>1.1499999999999999</v>
      </c>
      <c r="AD4" s="269">
        <v>10000</v>
      </c>
      <c r="AE4" s="144">
        <v>1.65</v>
      </c>
      <c r="AF4" s="325">
        <v>0.55000000000000004</v>
      </c>
      <c r="AG4" s="327" t="s">
        <v>222</v>
      </c>
      <c r="AH4" s="311">
        <v>0.14000000000000001</v>
      </c>
      <c r="AI4" s="273" t="s">
        <v>11</v>
      </c>
      <c r="AJ4" s="144" t="s">
        <v>94</v>
      </c>
      <c r="AK4" s="273" t="s">
        <v>221</v>
      </c>
      <c r="AL4" s="418">
        <v>180.74450304208972</v>
      </c>
      <c r="AM4" s="418">
        <v>180.74450304208972</v>
      </c>
      <c r="AN4" s="418">
        <v>180.74450304208972</v>
      </c>
      <c r="AO4" s="418">
        <v>180.74450304208972</v>
      </c>
      <c r="AP4" s="418">
        <v>180.74450304208972</v>
      </c>
      <c r="AQ4" s="418">
        <v>180.74450304208972</v>
      </c>
      <c r="AR4" s="418">
        <v>180.74450304208972</v>
      </c>
      <c r="AS4" s="418">
        <v>180.74450304208972</v>
      </c>
      <c r="AT4" s="418">
        <v>180.74450304208972</v>
      </c>
      <c r="AU4" s="418">
        <v>180.74450304208972</v>
      </c>
      <c r="AV4" s="418">
        <v>180.74450304208972</v>
      </c>
      <c r="AW4" s="418">
        <v>180.74450304208972</v>
      </c>
      <c r="AX4" s="47" t="s">
        <v>11</v>
      </c>
      <c r="AY4" s="139">
        <v>100000000000</v>
      </c>
      <c r="AZ4" s="326" t="s">
        <v>111</v>
      </c>
    </row>
    <row r="5" spans="1:52" ht="14.4" x14ac:dyDescent="0.3">
      <c r="A5" s="324">
        <v>1960</v>
      </c>
      <c r="B5" s="144" t="s">
        <v>111</v>
      </c>
      <c r="C5" s="144" t="s">
        <v>111</v>
      </c>
      <c r="D5" s="144" t="s">
        <v>111</v>
      </c>
      <c r="E5" s="144" t="s">
        <v>111</v>
      </c>
      <c r="F5" s="144" t="s">
        <v>111</v>
      </c>
      <c r="G5" s="144" t="s">
        <v>111</v>
      </c>
      <c r="H5" s="144" t="s">
        <v>111</v>
      </c>
      <c r="I5" s="144" t="s">
        <v>111</v>
      </c>
      <c r="J5" s="144" t="s">
        <v>111</v>
      </c>
      <c r="K5" s="144" t="s">
        <v>111</v>
      </c>
      <c r="L5" s="144" t="s">
        <v>111</v>
      </c>
      <c r="M5" s="144" t="s">
        <v>111</v>
      </c>
      <c r="N5" s="394" t="s">
        <v>605</v>
      </c>
      <c r="O5" s="395">
        <v>4.0540857086923738</v>
      </c>
      <c r="P5" s="395">
        <v>4.050470236718744</v>
      </c>
      <c r="Q5" s="395">
        <v>4.8860128037127684</v>
      </c>
      <c r="R5" s="395">
        <v>5.2483359395503104</v>
      </c>
      <c r="S5" s="395">
        <v>5.7649877781464607</v>
      </c>
      <c r="T5" s="395">
        <v>5.2385310715054336</v>
      </c>
      <c r="U5" s="395">
        <v>5.4175950619404736</v>
      </c>
      <c r="V5" s="395">
        <v>5.7293597016384048</v>
      </c>
      <c r="W5" s="395">
        <v>6.1928295740000561</v>
      </c>
      <c r="X5" s="395">
        <v>5.4336930274700892</v>
      </c>
      <c r="Y5" s="395">
        <v>4.0304590850718531</v>
      </c>
      <c r="Z5" s="395">
        <v>4.2715038471881357</v>
      </c>
      <c r="AA5" s="144" t="s">
        <v>94</v>
      </c>
      <c r="AB5" s="144" t="s">
        <v>212</v>
      </c>
      <c r="AC5" s="144">
        <v>1.1499999999999999</v>
      </c>
      <c r="AD5" s="269">
        <v>10000</v>
      </c>
      <c r="AE5" s="144">
        <v>1.65</v>
      </c>
      <c r="AF5" s="325">
        <v>0.55000000000000004</v>
      </c>
      <c r="AG5" s="327" t="s">
        <v>213</v>
      </c>
      <c r="AH5" s="311">
        <v>0.1</v>
      </c>
      <c r="AI5" s="273" t="s">
        <v>11</v>
      </c>
      <c r="AJ5" s="144" t="s">
        <v>94</v>
      </c>
      <c r="AK5" s="273" t="s">
        <v>212</v>
      </c>
      <c r="AL5" s="418">
        <v>180.74450304208972</v>
      </c>
      <c r="AM5" s="418">
        <v>180.74450304208972</v>
      </c>
      <c r="AN5" s="418">
        <v>180.74450304208972</v>
      </c>
      <c r="AO5" s="418">
        <v>180.74450304208972</v>
      </c>
      <c r="AP5" s="418">
        <v>180.74450304208972</v>
      </c>
      <c r="AQ5" s="418">
        <v>180.74450304208972</v>
      </c>
      <c r="AR5" s="418">
        <v>180.74450304208972</v>
      </c>
      <c r="AS5" s="418">
        <v>180.74450304208972</v>
      </c>
      <c r="AT5" s="418">
        <v>180.74450304208972</v>
      </c>
      <c r="AU5" s="418">
        <v>180.74450304208972</v>
      </c>
      <c r="AV5" s="418">
        <v>180.74450304208972</v>
      </c>
      <c r="AW5" s="418">
        <v>180.74450304208972</v>
      </c>
      <c r="AX5" s="47" t="s">
        <v>12</v>
      </c>
      <c r="AY5" s="139">
        <v>100000000000</v>
      </c>
      <c r="AZ5" s="326" t="s">
        <v>111</v>
      </c>
    </row>
    <row r="6" spans="1:52" ht="14.4" x14ac:dyDescent="0.3">
      <c r="A6" s="324">
        <v>1961</v>
      </c>
      <c r="B6" s="144" t="s">
        <v>111</v>
      </c>
      <c r="C6" s="144" t="s">
        <v>111</v>
      </c>
      <c r="D6" s="144" t="s">
        <v>111</v>
      </c>
      <c r="E6" s="144" t="s">
        <v>111</v>
      </c>
      <c r="F6" s="144" t="s">
        <v>111</v>
      </c>
      <c r="G6" s="144" t="s">
        <v>111</v>
      </c>
      <c r="H6" s="144" t="s">
        <v>111</v>
      </c>
      <c r="I6" s="144" t="s">
        <v>111</v>
      </c>
      <c r="J6" s="144" t="s">
        <v>111</v>
      </c>
      <c r="K6" s="144" t="s">
        <v>111</v>
      </c>
      <c r="L6" s="144" t="s">
        <v>111</v>
      </c>
      <c r="M6" s="144" t="s">
        <v>111</v>
      </c>
      <c r="N6" s="394" t="s">
        <v>606</v>
      </c>
      <c r="O6" s="395">
        <v>4.2356971209526426</v>
      </c>
      <c r="P6" s="395">
        <v>4.2457670756796659</v>
      </c>
      <c r="Q6" s="395">
        <v>4.3883230164712241</v>
      </c>
      <c r="R6" s="395">
        <v>5.3031919759239026</v>
      </c>
      <c r="S6" s="395">
        <v>5.3833200753694426</v>
      </c>
      <c r="T6" s="395">
        <v>5.2682999054222197</v>
      </c>
      <c r="U6" s="395">
        <v>5.241854908028488</v>
      </c>
      <c r="V6" s="395">
        <v>5.5173131572139242</v>
      </c>
      <c r="W6" s="395">
        <v>5.8749655277339814</v>
      </c>
      <c r="X6" s="395">
        <v>5.1925762682383683</v>
      </c>
      <c r="Y6" s="395">
        <v>4.2751671266209179</v>
      </c>
      <c r="Z6" s="395">
        <v>3.8756225179207018</v>
      </c>
      <c r="AA6" s="144" t="s">
        <v>94</v>
      </c>
      <c r="AB6" s="144" t="s">
        <v>203</v>
      </c>
      <c r="AC6" s="144">
        <v>1.1499999999999999</v>
      </c>
      <c r="AD6" s="269">
        <v>10000</v>
      </c>
      <c r="AE6" s="144">
        <v>1.65</v>
      </c>
      <c r="AF6" s="325">
        <v>0.55000000000000004</v>
      </c>
      <c r="AG6" s="327" t="s">
        <v>204</v>
      </c>
      <c r="AH6" s="311">
        <v>0.08</v>
      </c>
      <c r="AI6" s="273" t="s">
        <v>11</v>
      </c>
      <c r="AJ6" s="144" t="s">
        <v>94</v>
      </c>
      <c r="AK6" s="273" t="s">
        <v>203</v>
      </c>
      <c r="AL6" s="418">
        <v>180.74450304208972</v>
      </c>
      <c r="AM6" s="418">
        <v>180.74450304208972</v>
      </c>
      <c r="AN6" s="418">
        <v>180.74450304208972</v>
      </c>
      <c r="AO6" s="418">
        <v>180.74450304208972</v>
      </c>
      <c r="AP6" s="418">
        <v>180.74450304208972</v>
      </c>
      <c r="AQ6" s="418">
        <v>180.74450304208972</v>
      </c>
      <c r="AR6" s="418">
        <v>180.74450304208972</v>
      </c>
      <c r="AS6" s="418">
        <v>180.74450304208972</v>
      </c>
      <c r="AT6" s="418">
        <v>180.74450304208972</v>
      </c>
      <c r="AU6" s="418">
        <v>180.74450304208972</v>
      </c>
      <c r="AV6" s="418">
        <v>180.74450304208972</v>
      </c>
      <c r="AW6" s="418">
        <v>180.74450304208972</v>
      </c>
      <c r="AX6" s="47" t="s">
        <v>271</v>
      </c>
      <c r="AY6" s="139">
        <v>100000000000</v>
      </c>
      <c r="AZ6" s="326" t="s">
        <v>111</v>
      </c>
    </row>
    <row r="7" spans="1:52" ht="14.4" x14ac:dyDescent="0.3">
      <c r="A7" s="324">
        <v>1962</v>
      </c>
      <c r="B7" s="144" t="s">
        <v>111</v>
      </c>
      <c r="C7" s="144" t="s">
        <v>111</v>
      </c>
      <c r="D7" s="144" t="s">
        <v>111</v>
      </c>
      <c r="E7" s="144" t="s">
        <v>111</v>
      </c>
      <c r="F7" s="144" t="s">
        <v>111</v>
      </c>
      <c r="G7" s="144" t="s">
        <v>111</v>
      </c>
      <c r="H7" s="144" t="s">
        <v>111</v>
      </c>
      <c r="I7" s="144" t="s">
        <v>111</v>
      </c>
      <c r="J7" s="144" t="s">
        <v>111</v>
      </c>
      <c r="K7" s="144" t="s">
        <v>111</v>
      </c>
      <c r="L7" s="144" t="s">
        <v>111</v>
      </c>
      <c r="M7" s="144" t="s">
        <v>111</v>
      </c>
      <c r="N7" s="394" t="s">
        <v>607</v>
      </c>
      <c r="O7" s="395">
        <v>4.0990283272905756</v>
      </c>
      <c r="P7" s="395">
        <v>4.3960419477996862</v>
      </c>
      <c r="Q7" s="395">
        <v>5.1811302371977526</v>
      </c>
      <c r="R7" s="395">
        <v>5.1829938073499093</v>
      </c>
      <c r="S7" s="395">
        <v>5.792456676251577</v>
      </c>
      <c r="T7" s="395">
        <v>5.3279118251529791</v>
      </c>
      <c r="U7" s="395">
        <v>5.0906171518576846</v>
      </c>
      <c r="V7" s="395">
        <v>5.7696420251058349</v>
      </c>
      <c r="W7" s="395">
        <v>5.8399071266261826</v>
      </c>
      <c r="X7" s="395">
        <v>5.6095234562909972</v>
      </c>
      <c r="Y7" s="395">
        <v>4.6270507148613822</v>
      </c>
      <c r="Z7" s="395">
        <v>3.9744902348325359</v>
      </c>
      <c r="AA7" s="144" t="s">
        <v>95</v>
      </c>
      <c r="AB7" s="144" t="s">
        <v>221</v>
      </c>
      <c r="AC7" s="144">
        <v>1.2</v>
      </c>
      <c r="AD7" s="269">
        <v>10000</v>
      </c>
      <c r="AE7" s="144">
        <v>1.35</v>
      </c>
      <c r="AF7" s="325">
        <v>0.55000000000000004</v>
      </c>
      <c r="AI7" s="273" t="s">
        <v>11</v>
      </c>
      <c r="AJ7" s="144" t="s">
        <v>95</v>
      </c>
      <c r="AK7" s="273" t="s">
        <v>221</v>
      </c>
      <c r="AL7" s="144">
        <v>188.60295969609365</v>
      </c>
      <c r="AM7" s="144">
        <v>188.60295969609365</v>
      </c>
      <c r="AN7" s="144">
        <v>188.60295969609365</v>
      </c>
      <c r="AO7" s="144">
        <v>188.60295969609365</v>
      </c>
      <c r="AP7" s="144">
        <v>188.60295969609365</v>
      </c>
      <c r="AQ7" s="144">
        <v>188.60295969609365</v>
      </c>
      <c r="AR7" s="144">
        <v>188.60295969609365</v>
      </c>
      <c r="AS7" s="144">
        <v>188.60295969609365</v>
      </c>
      <c r="AT7" s="144">
        <v>188.60295969609365</v>
      </c>
      <c r="AU7" s="144">
        <v>188.60295969609365</v>
      </c>
      <c r="AV7" s="144">
        <v>188.60295969609365</v>
      </c>
      <c r="AW7" s="144">
        <v>188.60295969609365</v>
      </c>
      <c r="AX7" s="47" t="s">
        <v>270</v>
      </c>
      <c r="AY7" s="139">
        <v>100000000000</v>
      </c>
      <c r="AZ7" s="326" t="s">
        <v>111</v>
      </c>
    </row>
    <row r="8" spans="1:52" ht="14.4" x14ac:dyDescent="0.3">
      <c r="A8" s="324">
        <v>1963</v>
      </c>
      <c r="B8" s="144" t="s">
        <v>111</v>
      </c>
      <c r="C8" s="144" t="s">
        <v>111</v>
      </c>
      <c r="D8" s="144" t="s">
        <v>111</v>
      </c>
      <c r="E8" s="144" t="s">
        <v>111</v>
      </c>
      <c r="F8" s="144" t="s">
        <v>111</v>
      </c>
      <c r="G8" s="144" t="s">
        <v>111</v>
      </c>
      <c r="H8" s="144" t="s">
        <v>111</v>
      </c>
      <c r="I8" s="144" t="s">
        <v>111</v>
      </c>
      <c r="J8" s="144" t="s">
        <v>111</v>
      </c>
      <c r="K8" s="144" t="s">
        <v>111</v>
      </c>
      <c r="L8" s="144" t="s">
        <v>111</v>
      </c>
      <c r="M8" s="144" t="s">
        <v>111</v>
      </c>
      <c r="N8" s="394" t="s">
        <v>608</v>
      </c>
      <c r="O8" s="395">
        <v>4.2044854226087871</v>
      </c>
      <c r="P8" s="395">
        <v>4.9459934234402603</v>
      </c>
      <c r="Q8" s="395">
        <v>4.7207667738597276</v>
      </c>
      <c r="R8" s="395">
        <v>5.4408735484863442</v>
      </c>
      <c r="S8" s="395">
        <v>5.3959956250870604</v>
      </c>
      <c r="T8" s="395">
        <v>5.500404173966718</v>
      </c>
      <c r="U8" s="395">
        <v>5.2081957628211377</v>
      </c>
      <c r="V8" s="395">
        <v>5.7729146278483654</v>
      </c>
      <c r="W8" s="395">
        <v>5.7024856718892618</v>
      </c>
      <c r="X8" s="395">
        <v>5.211564558411351</v>
      </c>
      <c r="Y8" s="395">
        <v>4.7479927707090148</v>
      </c>
      <c r="Z8" s="395">
        <v>3.863129399513348</v>
      </c>
      <c r="AA8" s="144" t="s">
        <v>95</v>
      </c>
      <c r="AB8" s="144" t="s">
        <v>212</v>
      </c>
      <c r="AC8" s="144">
        <v>1.2</v>
      </c>
      <c r="AD8" s="269">
        <v>10000</v>
      </c>
      <c r="AE8" s="144">
        <v>1.35</v>
      </c>
      <c r="AF8" s="325">
        <v>0.55000000000000004</v>
      </c>
      <c r="AI8" s="273" t="s">
        <v>11</v>
      </c>
      <c r="AJ8" s="144" t="s">
        <v>95</v>
      </c>
      <c r="AK8" s="273" t="s">
        <v>212</v>
      </c>
      <c r="AL8" s="144">
        <v>188.60295969609365</v>
      </c>
      <c r="AM8" s="144">
        <v>188.60295969609365</v>
      </c>
      <c r="AN8" s="144">
        <v>188.60295969609365</v>
      </c>
      <c r="AO8" s="144">
        <v>188.60295969609365</v>
      </c>
      <c r="AP8" s="144">
        <v>188.60295969609365</v>
      </c>
      <c r="AQ8" s="144">
        <v>188.60295969609365</v>
      </c>
      <c r="AR8" s="144">
        <v>188.60295969609365</v>
      </c>
      <c r="AS8" s="144">
        <v>188.60295969609365</v>
      </c>
      <c r="AT8" s="144">
        <v>188.60295969609365</v>
      </c>
      <c r="AU8" s="144">
        <v>188.60295969609365</v>
      </c>
      <c r="AV8" s="144">
        <v>188.60295969609365</v>
      </c>
      <c r="AW8" s="144">
        <v>188.60295969609365</v>
      </c>
      <c r="AX8" s="47"/>
      <c r="AY8" s="139"/>
      <c r="AZ8" s="326"/>
    </row>
    <row r="9" spans="1:52" ht="14.4" x14ac:dyDescent="0.3">
      <c r="A9" s="324">
        <v>1964</v>
      </c>
      <c r="B9" s="144" t="s">
        <v>111</v>
      </c>
      <c r="C9" s="144" t="s">
        <v>111</v>
      </c>
      <c r="D9" s="144" t="s">
        <v>111</v>
      </c>
      <c r="E9" s="144" t="s">
        <v>111</v>
      </c>
      <c r="F9" s="144" t="s">
        <v>111</v>
      </c>
      <c r="G9" s="144" t="s">
        <v>111</v>
      </c>
      <c r="H9" s="144" t="s">
        <v>111</v>
      </c>
      <c r="I9" s="144" t="s">
        <v>111</v>
      </c>
      <c r="J9" s="144" t="s">
        <v>111</v>
      </c>
      <c r="K9" s="144" t="s">
        <v>111</v>
      </c>
      <c r="L9" s="144" t="s">
        <v>111</v>
      </c>
      <c r="M9" s="144" t="s">
        <v>111</v>
      </c>
      <c r="N9" s="394" t="s">
        <v>609</v>
      </c>
      <c r="O9" s="395">
        <v>3.7744154546528819</v>
      </c>
      <c r="P9" s="395">
        <v>4.4147739809201312</v>
      </c>
      <c r="Q9" s="395">
        <v>4.987346063260814</v>
      </c>
      <c r="R9" s="395">
        <v>5.4310721902026771</v>
      </c>
      <c r="S9" s="395">
        <v>5.4087632766369991</v>
      </c>
      <c r="T9" s="395">
        <v>5.5391864186345421</v>
      </c>
      <c r="U9" s="395">
        <v>5.2858710263927771</v>
      </c>
      <c r="V9" s="395">
        <v>5.8237983916721978</v>
      </c>
      <c r="W9" s="395">
        <v>5.8814731243824783</v>
      </c>
      <c r="X9" s="395">
        <v>5.2115379226457552</v>
      </c>
      <c r="Y9" s="395">
        <v>4.6542949975123822</v>
      </c>
      <c r="Z9" s="395">
        <v>4.197481159705978</v>
      </c>
      <c r="AA9" s="144" t="s">
        <v>95</v>
      </c>
      <c r="AB9" s="144" t="s">
        <v>203</v>
      </c>
      <c r="AC9" s="144">
        <v>1.2</v>
      </c>
      <c r="AD9" s="269">
        <v>10000</v>
      </c>
      <c r="AE9" s="144">
        <v>1.35</v>
      </c>
      <c r="AF9" s="325">
        <v>0.55000000000000004</v>
      </c>
      <c r="AI9" s="273" t="s">
        <v>11</v>
      </c>
      <c r="AJ9" s="144" t="s">
        <v>95</v>
      </c>
      <c r="AK9" s="273" t="s">
        <v>203</v>
      </c>
      <c r="AL9" s="144">
        <v>188.60295969609365</v>
      </c>
      <c r="AM9" s="144">
        <v>188.60295969609365</v>
      </c>
      <c r="AN9" s="144">
        <v>188.60295969609365</v>
      </c>
      <c r="AO9" s="144">
        <v>188.60295969609365</v>
      </c>
      <c r="AP9" s="144">
        <v>188.60295969609365</v>
      </c>
      <c r="AQ9" s="144">
        <v>188.60295969609365</v>
      </c>
      <c r="AR9" s="144">
        <v>188.60295969609365</v>
      </c>
      <c r="AS9" s="144">
        <v>188.60295969609365</v>
      </c>
      <c r="AT9" s="144">
        <v>188.60295969609365</v>
      </c>
      <c r="AU9" s="144">
        <v>188.60295969609365</v>
      </c>
      <c r="AV9" s="144">
        <v>188.60295969609365</v>
      </c>
      <c r="AW9" s="144">
        <v>188.60295969609365</v>
      </c>
      <c r="AX9" s="47"/>
      <c r="AY9" s="139"/>
      <c r="AZ9" s="326"/>
    </row>
    <row r="10" spans="1:52" ht="14.4" x14ac:dyDescent="0.3">
      <c r="A10" s="324">
        <v>1965</v>
      </c>
      <c r="B10" s="144" t="s">
        <v>111</v>
      </c>
      <c r="C10" s="144" t="s">
        <v>111</v>
      </c>
      <c r="D10" s="144" t="s">
        <v>111</v>
      </c>
      <c r="E10" s="144" t="s">
        <v>111</v>
      </c>
      <c r="F10" s="144" t="s">
        <v>111</v>
      </c>
      <c r="G10" s="144" t="s">
        <v>111</v>
      </c>
      <c r="H10" s="144" t="s">
        <v>111</v>
      </c>
      <c r="I10" s="144" t="s">
        <v>111</v>
      </c>
      <c r="J10" s="144" t="s">
        <v>111</v>
      </c>
      <c r="K10" s="144" t="s">
        <v>111</v>
      </c>
      <c r="L10" s="144" t="s">
        <v>111</v>
      </c>
      <c r="M10" s="144" t="s">
        <v>111</v>
      </c>
      <c r="N10" s="394" t="s">
        <v>610</v>
      </c>
      <c r="O10" s="395">
        <v>4.2155789639362062</v>
      </c>
      <c r="P10" s="395">
        <v>4.3656015627361846</v>
      </c>
      <c r="Q10" s="395">
        <v>5.2223476473039101</v>
      </c>
      <c r="R10" s="395">
        <v>5.7267127165998399</v>
      </c>
      <c r="S10" s="395">
        <v>5.6054117169710427</v>
      </c>
      <c r="T10" s="395">
        <v>5.2677310641949724</v>
      </c>
      <c r="U10" s="395">
        <v>5.4013821209536959</v>
      </c>
      <c r="V10" s="395">
        <v>5.6343169693791841</v>
      </c>
      <c r="W10" s="395">
        <v>5.83700011605886</v>
      </c>
      <c r="X10" s="395">
        <v>5.2365694175052004</v>
      </c>
      <c r="Y10" s="395">
        <v>4.4165392124732206</v>
      </c>
      <c r="Z10" s="395">
        <v>3.7625344814304111</v>
      </c>
      <c r="AA10" s="144" t="s">
        <v>98</v>
      </c>
      <c r="AB10" s="144" t="s">
        <v>221</v>
      </c>
      <c r="AC10" s="144">
        <v>1.1499999999999999</v>
      </c>
      <c r="AD10" s="269">
        <v>100000</v>
      </c>
      <c r="AE10" s="144">
        <v>1</v>
      </c>
      <c r="AF10" s="325">
        <v>0.45</v>
      </c>
      <c r="AI10" s="273" t="s">
        <v>11</v>
      </c>
      <c r="AJ10" s="144" t="s">
        <v>96</v>
      </c>
      <c r="AK10" s="273" t="s">
        <v>221</v>
      </c>
      <c r="AL10" s="144">
        <v>157.16913308007804</v>
      </c>
      <c r="AM10" s="144">
        <v>157.16913308007804</v>
      </c>
      <c r="AN10" s="144">
        <v>157.16913308007804</v>
      </c>
      <c r="AO10" s="144">
        <v>157.16913308007804</v>
      </c>
      <c r="AP10" s="144">
        <v>157.16913308007804</v>
      </c>
      <c r="AQ10" s="144">
        <v>157.16913308007804</v>
      </c>
      <c r="AR10" s="144">
        <v>157.16913308007804</v>
      </c>
      <c r="AS10" s="144">
        <v>157.16913308007804</v>
      </c>
      <c r="AT10" s="144">
        <v>157.16913308007804</v>
      </c>
      <c r="AU10" s="144">
        <v>157.16913308007804</v>
      </c>
      <c r="AV10" s="144">
        <v>157.16913308007804</v>
      </c>
      <c r="AW10" s="144">
        <v>157.16913308007804</v>
      </c>
    </row>
    <row r="11" spans="1:52" ht="14.4" x14ac:dyDescent="0.3">
      <c r="A11" s="324">
        <v>1966</v>
      </c>
      <c r="B11" s="144" t="s">
        <v>111</v>
      </c>
      <c r="C11" s="144" t="s">
        <v>111</v>
      </c>
      <c r="D11" s="144" t="s">
        <v>111</v>
      </c>
      <c r="E11" s="144" t="s">
        <v>111</v>
      </c>
      <c r="F11" s="144" t="s">
        <v>111</v>
      </c>
      <c r="G11" s="144" t="s">
        <v>111</v>
      </c>
      <c r="H11" s="144" t="s">
        <v>111</v>
      </c>
      <c r="I11" s="144" t="s">
        <v>111</v>
      </c>
      <c r="J11" s="144" t="s">
        <v>111</v>
      </c>
      <c r="K11" s="144" t="s">
        <v>111</v>
      </c>
      <c r="L11" s="144" t="s">
        <v>111</v>
      </c>
      <c r="M11" s="144" t="s">
        <v>111</v>
      </c>
      <c r="N11" s="394" t="s">
        <v>611</v>
      </c>
      <c r="O11" s="395">
        <v>3.7231248068468519</v>
      </c>
      <c r="P11" s="395">
        <v>3.787657323112668</v>
      </c>
      <c r="Q11" s="395">
        <v>4.2489052705257544</v>
      </c>
      <c r="R11" s="395">
        <v>5.2573683794420978</v>
      </c>
      <c r="S11" s="395">
        <v>5.6449696232776967</v>
      </c>
      <c r="T11" s="395">
        <v>5.2993144108866952</v>
      </c>
      <c r="U11" s="395">
        <v>5.2259204292685864</v>
      </c>
      <c r="V11" s="395">
        <v>5.5253404270226314</v>
      </c>
      <c r="W11" s="395">
        <v>6.1605657862622554</v>
      </c>
      <c r="X11" s="395">
        <v>5.4874649843103356</v>
      </c>
      <c r="Y11" s="395">
        <v>4.5594984377481076</v>
      </c>
      <c r="Z11" s="395">
        <v>4.142038958393873</v>
      </c>
      <c r="AA11" s="144" t="s">
        <v>98</v>
      </c>
      <c r="AB11" s="144" t="s">
        <v>212</v>
      </c>
      <c r="AC11" s="144">
        <v>1.1499999999999999</v>
      </c>
      <c r="AD11" s="269">
        <v>100000</v>
      </c>
      <c r="AE11" s="144">
        <v>1</v>
      </c>
      <c r="AF11" s="325">
        <v>0.45</v>
      </c>
      <c r="AI11" s="273" t="s">
        <v>11</v>
      </c>
      <c r="AJ11" s="144" t="s">
        <v>96</v>
      </c>
      <c r="AK11" s="273" t="s">
        <v>212</v>
      </c>
      <c r="AL11" s="144">
        <v>157.16913308007804</v>
      </c>
      <c r="AM11" s="144">
        <v>157.16913308007804</v>
      </c>
      <c r="AN11" s="144">
        <v>157.16913308007804</v>
      </c>
      <c r="AO11" s="144">
        <v>157.16913308007804</v>
      </c>
      <c r="AP11" s="144">
        <v>157.16913308007804</v>
      </c>
      <c r="AQ11" s="144">
        <v>157.16913308007804</v>
      </c>
      <c r="AR11" s="144">
        <v>157.16913308007804</v>
      </c>
      <c r="AS11" s="144">
        <v>157.16913308007804</v>
      </c>
      <c r="AT11" s="144">
        <v>157.16913308007804</v>
      </c>
      <c r="AU11" s="144">
        <v>157.16913308007804</v>
      </c>
      <c r="AV11" s="144">
        <v>157.16913308007804</v>
      </c>
      <c r="AW11" s="144">
        <v>157.16913308007804</v>
      </c>
    </row>
    <row r="12" spans="1:52" ht="14.4" x14ac:dyDescent="0.3">
      <c r="A12" s="324">
        <v>1967</v>
      </c>
      <c r="B12" s="144" t="s">
        <v>111</v>
      </c>
      <c r="C12" s="144" t="s">
        <v>111</v>
      </c>
      <c r="D12" s="144" t="s">
        <v>111</v>
      </c>
      <c r="E12" s="144" t="s">
        <v>111</v>
      </c>
      <c r="F12" s="144" t="s">
        <v>111</v>
      </c>
      <c r="G12" s="144" t="s">
        <v>111</v>
      </c>
      <c r="H12" s="144" t="s">
        <v>111</v>
      </c>
      <c r="I12" s="144" t="s">
        <v>111</v>
      </c>
      <c r="J12" s="144" t="s">
        <v>111</v>
      </c>
      <c r="K12" s="144" t="s">
        <v>111</v>
      </c>
      <c r="L12" s="144" t="s">
        <v>111</v>
      </c>
      <c r="M12" s="144" t="s">
        <v>111</v>
      </c>
      <c r="N12" s="394" t="s">
        <v>612</v>
      </c>
      <c r="O12" s="395">
        <v>4.0856098352993513</v>
      </c>
      <c r="P12" s="395">
        <v>4.4878514428168783</v>
      </c>
      <c r="Q12" s="395">
        <v>5.1439719301057121</v>
      </c>
      <c r="R12" s="395">
        <v>5.3429977144576473</v>
      </c>
      <c r="S12" s="395">
        <v>5.5700614674699471</v>
      </c>
      <c r="T12" s="395">
        <v>5.4885187499517212</v>
      </c>
      <c r="U12" s="395">
        <v>5.3147507118037822</v>
      </c>
      <c r="V12" s="395">
        <v>6.0748952058192653</v>
      </c>
      <c r="W12" s="395">
        <v>5.6933983991451784</v>
      </c>
      <c r="X12" s="395">
        <v>5.7932384814871831</v>
      </c>
      <c r="Y12" s="395">
        <v>4.7552846859810449</v>
      </c>
      <c r="Z12" s="395">
        <v>4.2098520478856178</v>
      </c>
      <c r="AA12" s="144" t="s">
        <v>98</v>
      </c>
      <c r="AB12" s="144" t="s">
        <v>203</v>
      </c>
      <c r="AC12" s="144">
        <v>1.1499999999999999</v>
      </c>
      <c r="AD12" s="269">
        <v>100000</v>
      </c>
      <c r="AE12" s="144">
        <v>1</v>
      </c>
      <c r="AF12" s="325">
        <v>0.45</v>
      </c>
      <c r="AI12" s="273" t="s">
        <v>11</v>
      </c>
      <c r="AJ12" s="144" t="s">
        <v>96</v>
      </c>
      <c r="AK12" s="273" t="s">
        <v>203</v>
      </c>
      <c r="AL12" s="144">
        <v>157.16913308007804</v>
      </c>
      <c r="AM12" s="144">
        <v>157.16913308007804</v>
      </c>
      <c r="AN12" s="144">
        <v>157.16913308007804</v>
      </c>
      <c r="AO12" s="144">
        <v>157.16913308007804</v>
      </c>
      <c r="AP12" s="144">
        <v>157.16913308007804</v>
      </c>
      <c r="AQ12" s="144">
        <v>157.16913308007804</v>
      </c>
      <c r="AR12" s="144">
        <v>157.16913308007804</v>
      </c>
      <c r="AS12" s="144">
        <v>157.16913308007804</v>
      </c>
      <c r="AT12" s="144">
        <v>157.16913308007804</v>
      </c>
      <c r="AU12" s="144">
        <v>157.16913308007804</v>
      </c>
      <c r="AV12" s="144">
        <v>157.16913308007804</v>
      </c>
      <c r="AW12" s="144">
        <v>157.16913308007804</v>
      </c>
    </row>
    <row r="13" spans="1:52" ht="14.4" x14ac:dyDescent="0.3">
      <c r="A13" s="324">
        <v>1968</v>
      </c>
      <c r="B13" s="144" t="s">
        <v>111</v>
      </c>
      <c r="C13" s="144" t="s">
        <v>111</v>
      </c>
      <c r="D13" s="144" t="s">
        <v>111</v>
      </c>
      <c r="E13" s="144" t="s">
        <v>111</v>
      </c>
      <c r="F13" s="144" t="s">
        <v>111</v>
      </c>
      <c r="G13" s="144" t="s">
        <v>111</v>
      </c>
      <c r="H13" s="144" t="s">
        <v>111</v>
      </c>
      <c r="I13" s="144" t="s">
        <v>111</v>
      </c>
      <c r="J13" s="144" t="s">
        <v>111</v>
      </c>
      <c r="K13" s="144" t="s">
        <v>111</v>
      </c>
      <c r="L13" s="144" t="s">
        <v>111</v>
      </c>
      <c r="M13" s="144" t="s">
        <v>111</v>
      </c>
      <c r="N13" s="394" t="s">
        <v>613</v>
      </c>
      <c r="O13" s="395">
        <v>3.772747800234221</v>
      </c>
      <c r="P13" s="395">
        <v>4.4890382153801918</v>
      </c>
      <c r="Q13" s="395">
        <v>4.2017461383633243</v>
      </c>
      <c r="R13" s="395">
        <v>5.1014341324450623</v>
      </c>
      <c r="S13" s="395">
        <v>5.4421418165096398</v>
      </c>
      <c r="T13" s="395">
        <v>5.4607329403871221</v>
      </c>
      <c r="U13" s="395">
        <v>5.2679053636059479</v>
      </c>
      <c r="V13" s="395">
        <v>5.3841340149760581</v>
      </c>
      <c r="W13" s="395">
        <v>6.2760308514560403</v>
      </c>
      <c r="X13" s="395">
        <v>5.2132700167152342</v>
      </c>
      <c r="Y13" s="395">
        <v>4.4055490008095237</v>
      </c>
      <c r="Z13" s="395">
        <v>3.7672549769177119</v>
      </c>
      <c r="AA13" s="144" t="s">
        <v>96</v>
      </c>
      <c r="AB13" s="144" t="s">
        <v>221</v>
      </c>
      <c r="AC13" s="144">
        <v>1</v>
      </c>
      <c r="AD13" s="269">
        <v>10000</v>
      </c>
      <c r="AE13" s="144">
        <v>1</v>
      </c>
      <c r="AF13" s="325">
        <v>0.45</v>
      </c>
      <c r="AI13" s="273" t="s">
        <v>11</v>
      </c>
      <c r="AJ13" s="144" t="s">
        <v>97</v>
      </c>
      <c r="AK13" s="273" t="s">
        <v>221</v>
      </c>
      <c r="AL13" s="144">
        <v>172.88604638808587</v>
      </c>
      <c r="AM13" s="144">
        <v>172.88604638808587</v>
      </c>
      <c r="AN13" s="144">
        <v>172.88604638808587</v>
      </c>
      <c r="AO13" s="144">
        <v>172.88604638808587</v>
      </c>
      <c r="AP13" s="144">
        <v>172.88604638808587</v>
      </c>
      <c r="AQ13" s="144">
        <v>172.88604638808587</v>
      </c>
      <c r="AR13" s="144">
        <v>172.88604638808587</v>
      </c>
      <c r="AS13" s="144">
        <v>172.88604638808587</v>
      </c>
      <c r="AT13" s="144">
        <v>172.88604638808587</v>
      </c>
      <c r="AU13" s="144">
        <v>172.88604638808587</v>
      </c>
      <c r="AV13" s="144">
        <v>172.88604638808587</v>
      </c>
      <c r="AW13" s="144">
        <v>172.88604638808587</v>
      </c>
    </row>
    <row r="14" spans="1:52" ht="14.4" x14ac:dyDescent="0.3">
      <c r="A14" s="324">
        <v>1969</v>
      </c>
      <c r="B14" s="144" t="s">
        <v>111</v>
      </c>
      <c r="C14" s="144" t="s">
        <v>111</v>
      </c>
      <c r="D14" s="144" t="s">
        <v>111</v>
      </c>
      <c r="E14" s="144" t="s">
        <v>111</v>
      </c>
      <c r="F14" s="144" t="s">
        <v>111</v>
      </c>
      <c r="G14" s="144" t="s">
        <v>111</v>
      </c>
      <c r="H14" s="144" t="s">
        <v>111</v>
      </c>
      <c r="I14" s="144" t="s">
        <v>111</v>
      </c>
      <c r="J14" s="144" t="s">
        <v>111</v>
      </c>
      <c r="K14" s="144" t="s">
        <v>111</v>
      </c>
      <c r="L14" s="144" t="s">
        <v>111</v>
      </c>
      <c r="M14" s="144" t="s">
        <v>111</v>
      </c>
      <c r="N14" s="394" t="s">
        <v>614</v>
      </c>
      <c r="O14" s="395">
        <v>3.9321674012552852</v>
      </c>
      <c r="P14" s="395">
        <v>4.2963033268632191</v>
      </c>
      <c r="Q14" s="395">
        <v>4.7944342439294667</v>
      </c>
      <c r="R14" s="395">
        <v>5.3548873124221537</v>
      </c>
      <c r="S14" s="395">
        <v>5.5753192805431429</v>
      </c>
      <c r="T14" s="395">
        <v>5.4664204830209782</v>
      </c>
      <c r="U14" s="395">
        <v>5.4927193798429137</v>
      </c>
      <c r="V14" s="395">
        <v>5.4341171662573666</v>
      </c>
      <c r="W14" s="395">
        <v>5.7624233168446537</v>
      </c>
      <c r="X14" s="395">
        <v>5.0980813638956386</v>
      </c>
      <c r="Y14" s="395">
        <v>4.423178276595177</v>
      </c>
      <c r="Z14" s="395">
        <v>3.9024257812311798</v>
      </c>
      <c r="AA14" s="144" t="s">
        <v>96</v>
      </c>
      <c r="AB14" s="144" t="s">
        <v>212</v>
      </c>
      <c r="AC14" s="144">
        <v>1</v>
      </c>
      <c r="AD14" s="269">
        <v>10000</v>
      </c>
      <c r="AE14" s="144">
        <v>0.8</v>
      </c>
      <c r="AF14" s="325">
        <v>0.55000000000000004</v>
      </c>
      <c r="AI14" s="273" t="s">
        <v>11</v>
      </c>
      <c r="AJ14" s="144" t="s">
        <v>97</v>
      </c>
      <c r="AK14" s="273" t="s">
        <v>212</v>
      </c>
      <c r="AL14" s="144">
        <v>172.88604638808587</v>
      </c>
      <c r="AM14" s="144">
        <v>172.88604638808587</v>
      </c>
      <c r="AN14" s="144">
        <v>172.88604638808587</v>
      </c>
      <c r="AO14" s="144">
        <v>172.88604638808587</v>
      </c>
      <c r="AP14" s="144">
        <v>172.88604638808587</v>
      </c>
      <c r="AQ14" s="144">
        <v>172.88604638808587</v>
      </c>
      <c r="AR14" s="144">
        <v>172.88604638808587</v>
      </c>
      <c r="AS14" s="144">
        <v>172.88604638808587</v>
      </c>
      <c r="AT14" s="144">
        <v>172.88604638808587</v>
      </c>
      <c r="AU14" s="144">
        <v>172.88604638808587</v>
      </c>
      <c r="AV14" s="144">
        <v>172.88604638808587</v>
      </c>
      <c r="AW14" s="144">
        <v>172.88604638808587</v>
      </c>
    </row>
    <row r="15" spans="1:52" ht="14.4" x14ac:dyDescent="0.3">
      <c r="A15" s="324">
        <v>1970</v>
      </c>
      <c r="B15" s="144" t="s">
        <v>111</v>
      </c>
      <c r="C15" s="144" t="s">
        <v>111</v>
      </c>
      <c r="D15" s="144" t="s">
        <v>111</v>
      </c>
      <c r="E15" s="144" t="s">
        <v>111</v>
      </c>
      <c r="F15" s="144" t="s">
        <v>111</v>
      </c>
      <c r="G15" s="144" t="s">
        <v>111</v>
      </c>
      <c r="H15" s="144" t="s">
        <v>111</v>
      </c>
      <c r="I15" s="144" t="s">
        <v>111</v>
      </c>
      <c r="J15" s="144" t="s">
        <v>111</v>
      </c>
      <c r="K15" s="144" t="s">
        <v>111</v>
      </c>
      <c r="L15" s="144" t="s">
        <v>111</v>
      </c>
      <c r="M15" s="144" t="s">
        <v>111</v>
      </c>
      <c r="N15" s="394" t="s">
        <v>615</v>
      </c>
      <c r="O15" s="395">
        <v>4.1739708908897626</v>
      </c>
      <c r="P15" s="395">
        <v>4.3419289880872576</v>
      </c>
      <c r="Q15" s="395">
        <v>4.5061999518321558</v>
      </c>
      <c r="R15" s="395">
        <v>5.2050211165014977</v>
      </c>
      <c r="S15" s="395">
        <v>5.7102536470986873</v>
      </c>
      <c r="T15" s="395">
        <v>5.5245915657521154</v>
      </c>
      <c r="U15" s="395">
        <v>5.2041573481327346</v>
      </c>
      <c r="V15" s="395">
        <v>5.6314940642882974</v>
      </c>
      <c r="W15" s="395">
        <v>6.1566957035421046</v>
      </c>
      <c r="X15" s="395">
        <v>5.6062343353911697</v>
      </c>
      <c r="Y15" s="395">
        <v>4.7995384088532997</v>
      </c>
      <c r="Z15" s="395">
        <v>3.882315158554642</v>
      </c>
      <c r="AA15" s="144" t="s">
        <v>96</v>
      </c>
      <c r="AB15" s="144" t="s">
        <v>203</v>
      </c>
      <c r="AC15" s="144">
        <v>1</v>
      </c>
      <c r="AD15" s="269">
        <v>10000</v>
      </c>
      <c r="AE15" s="144">
        <v>0.8</v>
      </c>
      <c r="AF15" s="325">
        <v>0.55000000000000004</v>
      </c>
      <c r="AI15" s="273" t="s">
        <v>11</v>
      </c>
      <c r="AJ15" s="144" t="s">
        <v>97</v>
      </c>
      <c r="AK15" s="273" t="s">
        <v>203</v>
      </c>
      <c r="AL15" s="144">
        <v>172.88604638808587</v>
      </c>
      <c r="AM15" s="144">
        <v>172.88604638808587</v>
      </c>
      <c r="AN15" s="144">
        <v>172.88604638808587</v>
      </c>
      <c r="AO15" s="144">
        <v>172.88604638808587</v>
      </c>
      <c r="AP15" s="144">
        <v>172.88604638808587</v>
      </c>
      <c r="AQ15" s="144">
        <v>172.88604638808587</v>
      </c>
      <c r="AR15" s="144">
        <v>172.88604638808587</v>
      </c>
      <c r="AS15" s="144">
        <v>172.88604638808587</v>
      </c>
      <c r="AT15" s="144">
        <v>172.88604638808587</v>
      </c>
      <c r="AU15" s="144">
        <v>172.88604638808587</v>
      </c>
      <c r="AV15" s="144">
        <v>172.88604638808587</v>
      </c>
      <c r="AW15" s="144">
        <v>172.88604638808587</v>
      </c>
    </row>
    <row r="16" spans="1:52" ht="14.4" x14ac:dyDescent="0.3">
      <c r="A16" s="324">
        <v>1971</v>
      </c>
      <c r="B16" s="144" t="s">
        <v>111</v>
      </c>
      <c r="C16" s="144" t="s">
        <v>111</v>
      </c>
      <c r="D16" s="144" t="s">
        <v>111</v>
      </c>
      <c r="E16" s="144" t="s">
        <v>111</v>
      </c>
      <c r="F16" s="144" t="s">
        <v>111</v>
      </c>
      <c r="G16" s="144" t="s">
        <v>111</v>
      </c>
      <c r="H16" s="144" t="s">
        <v>111</v>
      </c>
      <c r="I16" s="144" t="s">
        <v>111</v>
      </c>
      <c r="J16" s="144" t="s">
        <v>111</v>
      </c>
      <c r="K16" s="144" t="s">
        <v>111</v>
      </c>
      <c r="L16" s="144" t="s">
        <v>111</v>
      </c>
      <c r="M16" s="144" t="s">
        <v>111</v>
      </c>
      <c r="N16" s="394" t="s">
        <v>616</v>
      </c>
      <c r="O16" s="395">
        <v>4.1855475046249238</v>
      </c>
      <c r="P16" s="395">
        <v>4.4509634987273454</v>
      </c>
      <c r="Q16" s="395">
        <v>4.6801392572725318</v>
      </c>
      <c r="R16" s="395">
        <v>5.3133534950145114</v>
      </c>
      <c r="S16" s="395">
        <v>5.7347716377345836</v>
      </c>
      <c r="T16" s="395">
        <v>5.5883004836530592</v>
      </c>
      <c r="U16" s="395">
        <v>5.430707119780978</v>
      </c>
      <c r="V16" s="395">
        <v>5.9806347611795934</v>
      </c>
      <c r="W16" s="395">
        <v>6.1034855649828623</v>
      </c>
      <c r="X16" s="395">
        <v>5.9250728076587347</v>
      </c>
      <c r="Y16" s="395">
        <v>4.7276925463784911</v>
      </c>
      <c r="Z16" s="395">
        <v>3.8609626790760552</v>
      </c>
      <c r="AA16" s="144" t="s">
        <v>97</v>
      </c>
      <c r="AB16" s="144" t="s">
        <v>221</v>
      </c>
      <c r="AC16" s="144">
        <v>1.1000000000000001</v>
      </c>
      <c r="AD16" s="269">
        <v>10000</v>
      </c>
      <c r="AE16" s="144">
        <v>0.8</v>
      </c>
      <c r="AF16" s="325">
        <v>0.55000000000000004</v>
      </c>
      <c r="AI16" s="273" t="s">
        <v>11</v>
      </c>
      <c r="AJ16" s="144" t="s">
        <v>98</v>
      </c>
      <c r="AK16" s="273" t="s">
        <v>221</v>
      </c>
      <c r="AL16" s="144">
        <v>180.74450304208972</v>
      </c>
      <c r="AM16" s="144">
        <v>180.74450304208972</v>
      </c>
      <c r="AN16" s="144">
        <v>180.74450304208972</v>
      </c>
      <c r="AO16" s="144">
        <v>180.74450304208972</v>
      </c>
      <c r="AP16" s="144">
        <v>180.74450304208972</v>
      </c>
      <c r="AQ16" s="144">
        <v>180.74450304208972</v>
      </c>
      <c r="AR16" s="144">
        <v>180.74450304208972</v>
      </c>
      <c r="AS16" s="144">
        <v>180.74450304208972</v>
      </c>
      <c r="AT16" s="144">
        <v>180.74450304208972</v>
      </c>
      <c r="AU16" s="144">
        <v>180.74450304208972</v>
      </c>
      <c r="AV16" s="144">
        <v>180.74450304208972</v>
      </c>
      <c r="AW16" s="144">
        <v>180.74450304208972</v>
      </c>
    </row>
    <row r="17" spans="1:49" ht="14.4" x14ac:dyDescent="0.3">
      <c r="A17" s="324">
        <v>1972</v>
      </c>
      <c r="B17" s="144" t="s">
        <v>111</v>
      </c>
      <c r="C17" s="144" t="s">
        <v>111</v>
      </c>
      <c r="D17" s="144" t="s">
        <v>111</v>
      </c>
      <c r="E17" s="144" t="s">
        <v>111</v>
      </c>
      <c r="F17" s="144" t="s">
        <v>111</v>
      </c>
      <c r="G17" s="144" t="s">
        <v>111</v>
      </c>
      <c r="H17" s="144" t="s">
        <v>111</v>
      </c>
      <c r="I17" s="144" t="s">
        <v>111</v>
      </c>
      <c r="J17" s="144" t="s">
        <v>111</v>
      </c>
      <c r="K17" s="144" t="s">
        <v>111</v>
      </c>
      <c r="L17" s="144" t="s">
        <v>111</v>
      </c>
      <c r="M17" s="144" t="s">
        <v>111</v>
      </c>
      <c r="N17" s="394" t="s">
        <v>617</v>
      </c>
      <c r="O17" s="395">
        <v>4.4079769575559844</v>
      </c>
      <c r="P17" s="395">
        <v>4.2231304562857677</v>
      </c>
      <c r="Q17" s="395">
        <v>5.0880872603108234</v>
      </c>
      <c r="R17" s="395">
        <v>5.6674519402176138</v>
      </c>
      <c r="S17" s="395">
        <v>5.3893286045479476</v>
      </c>
      <c r="T17" s="395">
        <v>5.3117827878248276</v>
      </c>
      <c r="U17" s="395">
        <v>5.4566031794764651</v>
      </c>
      <c r="V17" s="395">
        <v>5.7909550832568524</v>
      </c>
      <c r="W17" s="395">
        <v>6.1618998235967828</v>
      </c>
      <c r="X17" s="395">
        <v>5.5384707885242062</v>
      </c>
      <c r="Y17" s="395">
        <v>4.4413276614709627</v>
      </c>
      <c r="Z17" s="395">
        <v>3.8999428038331412</v>
      </c>
      <c r="AA17" s="144" t="s">
        <v>97</v>
      </c>
      <c r="AB17" s="144" t="s">
        <v>212</v>
      </c>
      <c r="AC17" s="144">
        <v>1.1000000000000001</v>
      </c>
      <c r="AD17" s="269">
        <v>10000</v>
      </c>
      <c r="AE17" s="144">
        <v>1</v>
      </c>
      <c r="AF17" s="325">
        <v>0.55000000000000004</v>
      </c>
      <c r="AI17" s="273" t="s">
        <v>11</v>
      </c>
      <c r="AJ17" s="144" t="s">
        <v>98</v>
      </c>
      <c r="AK17" s="273" t="s">
        <v>212</v>
      </c>
      <c r="AL17" s="144">
        <v>180.74450304208972</v>
      </c>
      <c r="AM17" s="144">
        <v>180.74450304208972</v>
      </c>
      <c r="AN17" s="144">
        <v>180.74450304208972</v>
      </c>
      <c r="AO17" s="144">
        <v>180.74450304208972</v>
      </c>
      <c r="AP17" s="144">
        <v>180.74450304208972</v>
      </c>
      <c r="AQ17" s="144">
        <v>180.74450304208972</v>
      </c>
      <c r="AR17" s="144">
        <v>180.74450304208972</v>
      </c>
      <c r="AS17" s="144">
        <v>180.74450304208972</v>
      </c>
      <c r="AT17" s="144">
        <v>180.74450304208972</v>
      </c>
      <c r="AU17" s="144">
        <v>180.74450304208972</v>
      </c>
      <c r="AV17" s="144">
        <v>180.74450304208972</v>
      </c>
      <c r="AW17" s="144">
        <v>180.74450304208972</v>
      </c>
    </row>
    <row r="18" spans="1:49" ht="14.4" x14ac:dyDescent="0.3">
      <c r="A18" s="324">
        <v>1973</v>
      </c>
      <c r="B18" s="144" t="s">
        <v>111</v>
      </c>
      <c r="C18" s="144" t="s">
        <v>111</v>
      </c>
      <c r="D18" s="144" t="s">
        <v>111</v>
      </c>
      <c r="E18" s="144" t="s">
        <v>111</v>
      </c>
      <c r="F18" s="144" t="s">
        <v>111</v>
      </c>
      <c r="G18" s="144" t="s">
        <v>111</v>
      </c>
      <c r="H18" s="144" t="s">
        <v>111</v>
      </c>
      <c r="I18" s="144" t="s">
        <v>111</v>
      </c>
      <c r="J18" s="144" t="s">
        <v>111</v>
      </c>
      <c r="K18" s="144" t="s">
        <v>111</v>
      </c>
      <c r="L18" s="144" t="s">
        <v>111</v>
      </c>
      <c r="M18" s="144" t="s">
        <v>111</v>
      </c>
      <c r="N18" s="394" t="s">
        <v>618</v>
      </c>
      <c r="O18" s="395">
        <v>3.9630180586236818</v>
      </c>
      <c r="P18" s="395">
        <v>4.3245693116976387</v>
      </c>
      <c r="Q18" s="395">
        <v>4.4656874266861211</v>
      </c>
      <c r="R18" s="395">
        <v>5.6890212705331207</v>
      </c>
      <c r="S18" s="395">
        <v>5.8307908769777788</v>
      </c>
      <c r="T18" s="395">
        <v>5.3567252535236429</v>
      </c>
      <c r="U18" s="395">
        <v>5.5047473190685041</v>
      </c>
      <c r="V18" s="395">
        <v>5.708858834177593</v>
      </c>
      <c r="W18" s="395">
        <v>6.2634521478946166</v>
      </c>
      <c r="X18" s="395">
        <v>5.8231822065658161</v>
      </c>
      <c r="Y18" s="395">
        <v>4.8072815490659782</v>
      </c>
      <c r="Z18" s="395">
        <v>3.914559487920827</v>
      </c>
      <c r="AA18" s="144" t="s">
        <v>97</v>
      </c>
      <c r="AB18" s="144" t="s">
        <v>203</v>
      </c>
      <c r="AC18" s="144">
        <v>1.1000000000000001</v>
      </c>
      <c r="AD18" s="269">
        <v>10000</v>
      </c>
      <c r="AE18" s="144">
        <v>1</v>
      </c>
      <c r="AF18" s="325">
        <v>0.55000000000000004</v>
      </c>
      <c r="AI18" s="273" t="s">
        <v>11</v>
      </c>
      <c r="AJ18" s="144" t="s">
        <v>98</v>
      </c>
      <c r="AK18" s="273" t="s">
        <v>203</v>
      </c>
      <c r="AL18" s="144">
        <v>180.74450304208972</v>
      </c>
      <c r="AM18" s="144">
        <v>180.74450304208972</v>
      </c>
      <c r="AN18" s="144">
        <v>180.74450304208972</v>
      </c>
      <c r="AO18" s="144">
        <v>180.74450304208972</v>
      </c>
      <c r="AP18" s="144">
        <v>180.74450304208972</v>
      </c>
      <c r="AQ18" s="144">
        <v>180.74450304208972</v>
      </c>
      <c r="AR18" s="144">
        <v>180.74450304208972</v>
      </c>
      <c r="AS18" s="144">
        <v>180.74450304208972</v>
      </c>
      <c r="AT18" s="144">
        <v>180.74450304208972</v>
      </c>
      <c r="AU18" s="144">
        <v>180.74450304208972</v>
      </c>
      <c r="AV18" s="144">
        <v>180.74450304208972</v>
      </c>
      <c r="AW18" s="144">
        <v>180.74450304208972</v>
      </c>
    </row>
    <row r="19" spans="1:49" ht="14.4" x14ac:dyDescent="0.3">
      <c r="A19" s="324">
        <v>1974</v>
      </c>
      <c r="B19" s="144" t="s">
        <v>111</v>
      </c>
      <c r="C19" s="144" t="s">
        <v>111</v>
      </c>
      <c r="D19" s="144" t="s">
        <v>111</v>
      </c>
      <c r="E19" s="144" t="s">
        <v>111</v>
      </c>
      <c r="F19" s="144" t="s">
        <v>111</v>
      </c>
      <c r="G19" s="144" t="s">
        <v>111</v>
      </c>
      <c r="H19" s="144" t="s">
        <v>111</v>
      </c>
      <c r="I19" s="144" t="s">
        <v>111</v>
      </c>
      <c r="J19" s="144" t="s">
        <v>111</v>
      </c>
      <c r="K19" s="144" t="s">
        <v>111</v>
      </c>
      <c r="L19" s="144" t="s">
        <v>111</v>
      </c>
      <c r="M19" s="144" t="s">
        <v>111</v>
      </c>
      <c r="N19" s="394" t="s">
        <v>619</v>
      </c>
      <c r="O19" s="395">
        <v>4.0416187072719154</v>
      </c>
      <c r="P19" s="395">
        <v>4.1577696355920724</v>
      </c>
      <c r="Q19" s="395">
        <v>4.9639776335734869</v>
      </c>
      <c r="R19" s="395">
        <v>5.683971602804311</v>
      </c>
      <c r="S19" s="395">
        <v>5.9022097304200321</v>
      </c>
      <c r="T19" s="395">
        <v>5.5988641429588792</v>
      </c>
      <c r="U19" s="395">
        <v>5.4015123758479104</v>
      </c>
      <c r="V19" s="395">
        <v>5.6633290175767117</v>
      </c>
      <c r="W19" s="395">
        <v>6.2016018826420538</v>
      </c>
      <c r="X19" s="395">
        <v>5.5495311849209799</v>
      </c>
      <c r="Y19" s="395">
        <v>4.8018207122872134</v>
      </c>
      <c r="Z19" s="395">
        <v>3.658728999116974</v>
      </c>
      <c r="AA19" s="144" t="s">
        <v>99</v>
      </c>
      <c r="AB19" s="144" t="s">
        <v>221</v>
      </c>
      <c r="AC19" s="144">
        <v>1.1499999999999999</v>
      </c>
      <c r="AD19" s="269">
        <v>10000</v>
      </c>
      <c r="AE19" s="144">
        <v>1.65</v>
      </c>
      <c r="AF19" s="325">
        <v>0.55000000000000004</v>
      </c>
      <c r="AI19" s="273" t="s">
        <v>12</v>
      </c>
      <c r="AJ19" s="144" t="s">
        <v>94</v>
      </c>
      <c r="AK19" s="273" t="s">
        <v>221</v>
      </c>
      <c r="AL19" s="418">
        <v>180.74450304208972</v>
      </c>
      <c r="AM19" s="418">
        <v>180.74450304208972</v>
      </c>
      <c r="AN19" s="418">
        <v>180.74450304208972</v>
      </c>
      <c r="AO19" s="418">
        <v>180.74450304208972</v>
      </c>
      <c r="AP19" s="418">
        <v>180.74450304208972</v>
      </c>
      <c r="AQ19" s="418">
        <v>180.74450304208972</v>
      </c>
      <c r="AR19" s="418">
        <v>180.74450304208972</v>
      </c>
      <c r="AS19" s="418">
        <v>180.74450304208972</v>
      </c>
      <c r="AT19" s="418">
        <v>180.74450304208972</v>
      </c>
      <c r="AU19" s="418">
        <v>180.74450304208972</v>
      </c>
      <c r="AV19" s="418">
        <v>180.74450304208972</v>
      </c>
      <c r="AW19" s="418">
        <v>180.74450304208972</v>
      </c>
    </row>
    <row r="20" spans="1:49" ht="14.4" x14ac:dyDescent="0.3">
      <c r="A20" s="324">
        <v>1975</v>
      </c>
      <c r="B20" s="144" t="s">
        <v>111</v>
      </c>
      <c r="C20" s="144" t="s">
        <v>111</v>
      </c>
      <c r="D20" s="144" t="s">
        <v>111</v>
      </c>
      <c r="E20" s="144" t="s">
        <v>111</v>
      </c>
      <c r="F20" s="144" t="s">
        <v>111</v>
      </c>
      <c r="G20" s="144" t="s">
        <v>111</v>
      </c>
      <c r="H20" s="144" t="s">
        <v>111</v>
      </c>
      <c r="I20" s="144" t="s">
        <v>111</v>
      </c>
      <c r="J20" s="144" t="s">
        <v>111</v>
      </c>
      <c r="K20" s="144" t="s">
        <v>111</v>
      </c>
      <c r="L20" s="144" t="s">
        <v>111</v>
      </c>
      <c r="M20" s="144" t="s">
        <v>111</v>
      </c>
      <c r="N20" s="394" t="s">
        <v>620</v>
      </c>
      <c r="O20" s="395">
        <v>3.9763236166419</v>
      </c>
      <c r="P20" s="395">
        <v>4.2537841745536618</v>
      </c>
      <c r="Q20" s="395">
        <v>4.7625079018814924</v>
      </c>
      <c r="R20" s="395">
        <v>5.7824445184390338</v>
      </c>
      <c r="S20" s="395">
        <v>5.7835475000478258</v>
      </c>
      <c r="T20" s="395">
        <v>5.6159261463873307</v>
      </c>
      <c r="U20" s="395">
        <v>5.5089130399126933</v>
      </c>
      <c r="V20" s="395">
        <v>5.8764687329772656</v>
      </c>
      <c r="W20" s="395">
        <v>6.2773261409562542</v>
      </c>
      <c r="X20" s="395">
        <v>5.4855610575440208</v>
      </c>
      <c r="Y20" s="395">
        <v>4.522763312553935</v>
      </c>
      <c r="Z20" s="395">
        <v>4.0939685461158897</v>
      </c>
      <c r="AA20" s="144" t="s">
        <v>99</v>
      </c>
      <c r="AB20" s="144" t="s">
        <v>212</v>
      </c>
      <c r="AC20" s="144">
        <v>1.1499999999999999</v>
      </c>
      <c r="AD20" s="269">
        <v>10000</v>
      </c>
      <c r="AE20" s="144">
        <v>1.65</v>
      </c>
      <c r="AF20" s="325">
        <v>0.55000000000000004</v>
      </c>
      <c r="AI20" s="273" t="s">
        <v>12</v>
      </c>
      <c r="AJ20" s="144" t="s">
        <v>94</v>
      </c>
      <c r="AK20" s="273" t="s">
        <v>212</v>
      </c>
      <c r="AL20" s="418">
        <v>180.74450304208972</v>
      </c>
      <c r="AM20" s="418">
        <v>180.74450304208972</v>
      </c>
      <c r="AN20" s="418">
        <v>180.74450304208972</v>
      </c>
      <c r="AO20" s="418">
        <v>180.74450304208972</v>
      </c>
      <c r="AP20" s="418">
        <v>180.74450304208972</v>
      </c>
      <c r="AQ20" s="418">
        <v>180.74450304208972</v>
      </c>
      <c r="AR20" s="418">
        <v>180.74450304208972</v>
      </c>
      <c r="AS20" s="418">
        <v>180.74450304208972</v>
      </c>
      <c r="AT20" s="418">
        <v>180.74450304208972</v>
      </c>
      <c r="AU20" s="418">
        <v>180.74450304208972</v>
      </c>
      <c r="AV20" s="418">
        <v>180.74450304208972</v>
      </c>
      <c r="AW20" s="418">
        <v>180.74450304208972</v>
      </c>
    </row>
    <row r="21" spans="1:49" ht="14.4" x14ac:dyDescent="0.3">
      <c r="A21" s="324">
        <v>1976</v>
      </c>
      <c r="B21" s="144" t="s">
        <v>111</v>
      </c>
      <c r="C21" s="144" t="s">
        <v>111</v>
      </c>
      <c r="D21" s="144" t="s">
        <v>111</v>
      </c>
      <c r="E21" s="144" t="s">
        <v>111</v>
      </c>
      <c r="F21" s="144" t="s">
        <v>111</v>
      </c>
      <c r="G21" s="144" t="s">
        <v>111</v>
      </c>
      <c r="H21" s="144" t="s">
        <v>111</v>
      </c>
      <c r="I21" s="144" t="s">
        <v>111</v>
      </c>
      <c r="J21" s="144" t="s">
        <v>111</v>
      </c>
      <c r="K21" s="144" t="s">
        <v>111</v>
      </c>
      <c r="L21" s="144" t="s">
        <v>111</v>
      </c>
      <c r="M21" s="144" t="s">
        <v>111</v>
      </c>
      <c r="N21" s="394" t="s">
        <v>621</v>
      </c>
      <c r="O21" s="395">
        <v>3.8209505338289329</v>
      </c>
      <c r="P21" s="395">
        <v>4.0711730392001826</v>
      </c>
      <c r="Q21" s="395">
        <v>4.9620591913184366</v>
      </c>
      <c r="R21" s="395">
        <v>5.574866305492292</v>
      </c>
      <c r="S21" s="395">
        <v>5.8639140476602769</v>
      </c>
      <c r="T21" s="395">
        <v>5.4792574652340402</v>
      </c>
      <c r="U21" s="395">
        <v>5.3605787574887547</v>
      </c>
      <c r="V21" s="395">
        <v>5.8412069186278588</v>
      </c>
      <c r="W21" s="395">
        <v>6.2404452977831637</v>
      </c>
      <c r="X21" s="395">
        <v>5.5219128048750106</v>
      </c>
      <c r="Y21" s="395">
        <v>4.365679348422467</v>
      </c>
      <c r="Z21" s="395">
        <v>3.6244018124859538</v>
      </c>
      <c r="AA21" s="144" t="s">
        <v>99</v>
      </c>
      <c r="AB21" s="144" t="s">
        <v>203</v>
      </c>
      <c r="AC21" s="144">
        <v>1.1499999999999999</v>
      </c>
      <c r="AD21" s="269">
        <v>10000</v>
      </c>
      <c r="AE21" s="144">
        <v>1.65</v>
      </c>
      <c r="AF21" s="325">
        <v>0.55000000000000004</v>
      </c>
      <c r="AI21" s="273" t="s">
        <v>12</v>
      </c>
      <c r="AJ21" s="144" t="s">
        <v>94</v>
      </c>
      <c r="AK21" s="273" t="s">
        <v>203</v>
      </c>
      <c r="AL21" s="418">
        <v>180.74450304208972</v>
      </c>
      <c r="AM21" s="418">
        <v>180.74450304208972</v>
      </c>
      <c r="AN21" s="418">
        <v>180.74450304208972</v>
      </c>
      <c r="AO21" s="418">
        <v>180.74450304208972</v>
      </c>
      <c r="AP21" s="418">
        <v>180.74450304208972</v>
      </c>
      <c r="AQ21" s="418">
        <v>180.74450304208972</v>
      </c>
      <c r="AR21" s="418">
        <v>180.74450304208972</v>
      </c>
      <c r="AS21" s="418">
        <v>180.74450304208972</v>
      </c>
      <c r="AT21" s="418">
        <v>180.74450304208972</v>
      </c>
      <c r="AU21" s="418">
        <v>180.74450304208972</v>
      </c>
      <c r="AV21" s="418">
        <v>180.74450304208972</v>
      </c>
      <c r="AW21" s="418">
        <v>180.74450304208972</v>
      </c>
    </row>
    <row r="22" spans="1:49" ht="14.4" x14ac:dyDescent="0.3">
      <c r="A22" s="324">
        <v>1977</v>
      </c>
      <c r="B22" s="144" t="s">
        <v>111</v>
      </c>
      <c r="C22" s="144" t="s">
        <v>111</v>
      </c>
      <c r="D22" s="144" t="s">
        <v>111</v>
      </c>
      <c r="E22" s="144" t="s">
        <v>111</v>
      </c>
      <c r="F22" s="144" t="s">
        <v>111</v>
      </c>
      <c r="G22" s="144" t="s">
        <v>111</v>
      </c>
      <c r="H22" s="144" t="s">
        <v>111</v>
      </c>
      <c r="I22" s="144" t="s">
        <v>111</v>
      </c>
      <c r="J22" s="144" t="s">
        <v>111</v>
      </c>
      <c r="K22" s="144" t="s">
        <v>111</v>
      </c>
      <c r="L22" s="144" t="s">
        <v>111</v>
      </c>
      <c r="M22" s="144" t="s">
        <v>111</v>
      </c>
      <c r="N22" s="394" t="s">
        <v>622</v>
      </c>
      <c r="O22" s="395">
        <v>3.8596285690558161</v>
      </c>
      <c r="P22" s="395">
        <v>3.8395783102526408</v>
      </c>
      <c r="Q22" s="395">
        <v>4.964857856625712</v>
      </c>
      <c r="R22" s="395">
        <v>5.3631989837522864</v>
      </c>
      <c r="S22" s="395">
        <v>5.8363217109307568</v>
      </c>
      <c r="T22" s="395">
        <v>5.6169459091103837</v>
      </c>
      <c r="U22" s="395">
        <v>5.5957398851304951</v>
      </c>
      <c r="V22" s="395">
        <v>5.713820191024567</v>
      </c>
      <c r="W22" s="395">
        <v>5.934251155495244</v>
      </c>
      <c r="X22" s="395">
        <v>5.0602946261602648</v>
      </c>
      <c r="Y22" s="395">
        <v>4.0736698355540426</v>
      </c>
      <c r="Z22" s="395">
        <v>3.746788893395709</v>
      </c>
      <c r="AA22" s="144" t="s">
        <v>100</v>
      </c>
      <c r="AB22" s="144" t="s">
        <v>221</v>
      </c>
      <c r="AC22" s="144">
        <v>1.2</v>
      </c>
      <c r="AD22" s="269">
        <v>10000</v>
      </c>
      <c r="AE22" s="144">
        <v>1.35</v>
      </c>
      <c r="AF22" s="325">
        <v>0.5</v>
      </c>
      <c r="AI22" s="273" t="s">
        <v>12</v>
      </c>
      <c r="AJ22" s="144" t="s">
        <v>95</v>
      </c>
      <c r="AK22" s="273" t="s">
        <v>221</v>
      </c>
      <c r="AL22" s="144">
        <v>188.60295969609365</v>
      </c>
      <c r="AM22" s="144">
        <v>188.60295969609365</v>
      </c>
      <c r="AN22" s="144">
        <v>188.60295969609365</v>
      </c>
      <c r="AO22" s="144">
        <v>188.60295969609365</v>
      </c>
      <c r="AP22" s="144">
        <v>188.60295969609365</v>
      </c>
      <c r="AQ22" s="144">
        <v>188.60295969609365</v>
      </c>
      <c r="AR22" s="144">
        <v>188.60295969609365</v>
      </c>
      <c r="AS22" s="144">
        <v>188.60295969609365</v>
      </c>
      <c r="AT22" s="144">
        <v>188.60295969609365</v>
      </c>
      <c r="AU22" s="144">
        <v>188.60295969609365</v>
      </c>
      <c r="AV22" s="144">
        <v>188.60295969609365</v>
      </c>
      <c r="AW22" s="144">
        <v>188.60295969609365</v>
      </c>
    </row>
    <row r="23" spans="1:49" ht="14.4" x14ac:dyDescent="0.3">
      <c r="A23" s="324">
        <v>1978</v>
      </c>
      <c r="B23" s="144" t="s">
        <v>111</v>
      </c>
      <c r="C23" s="144" t="s">
        <v>111</v>
      </c>
      <c r="D23" s="144" t="s">
        <v>111</v>
      </c>
      <c r="E23" s="144" t="s">
        <v>111</v>
      </c>
      <c r="F23" s="144" t="s">
        <v>111</v>
      </c>
      <c r="G23" s="144" t="s">
        <v>111</v>
      </c>
      <c r="H23" s="144" t="s">
        <v>111</v>
      </c>
      <c r="I23" s="144" t="s">
        <v>111</v>
      </c>
      <c r="J23" s="144" t="s">
        <v>111</v>
      </c>
      <c r="K23" s="144" t="s">
        <v>111</v>
      </c>
      <c r="L23" s="144" t="s">
        <v>111</v>
      </c>
      <c r="M23" s="144" t="s">
        <v>111</v>
      </c>
      <c r="N23" s="394" t="s">
        <v>623</v>
      </c>
      <c r="O23" s="395">
        <v>3.852840675523209</v>
      </c>
      <c r="P23" s="395">
        <v>4.1150562760808436</v>
      </c>
      <c r="Q23" s="395">
        <v>5.0238019910408536</v>
      </c>
      <c r="R23" s="395">
        <v>5.6685900879646844</v>
      </c>
      <c r="S23" s="395">
        <v>5.5667482711133127</v>
      </c>
      <c r="T23" s="395">
        <v>5.6500040578604223</v>
      </c>
      <c r="U23" s="395">
        <v>5.3219264279681946</v>
      </c>
      <c r="V23" s="395">
        <v>5.7094797206147314</v>
      </c>
      <c r="W23" s="395">
        <v>6.2628801529466376</v>
      </c>
      <c r="X23" s="395">
        <v>5.4788354340878893</v>
      </c>
      <c r="Y23" s="395">
        <v>4.4227271033023454</v>
      </c>
      <c r="Z23" s="395">
        <v>3.9886338845009268</v>
      </c>
      <c r="AA23" s="144" t="s">
        <v>100</v>
      </c>
      <c r="AB23" s="144" t="s">
        <v>212</v>
      </c>
      <c r="AC23" s="144">
        <v>1.2</v>
      </c>
      <c r="AD23" s="269">
        <v>10000</v>
      </c>
      <c r="AE23" s="144">
        <v>1.35</v>
      </c>
      <c r="AF23" s="325">
        <v>0.5</v>
      </c>
      <c r="AI23" s="273" t="s">
        <v>12</v>
      </c>
      <c r="AJ23" s="144" t="s">
        <v>95</v>
      </c>
      <c r="AK23" s="273" t="s">
        <v>212</v>
      </c>
      <c r="AL23" s="144">
        <v>188.60295969609365</v>
      </c>
      <c r="AM23" s="144">
        <v>188.60295969609365</v>
      </c>
      <c r="AN23" s="144">
        <v>188.60295969609365</v>
      </c>
      <c r="AO23" s="144">
        <v>188.60295969609365</v>
      </c>
      <c r="AP23" s="144">
        <v>188.60295969609365</v>
      </c>
      <c r="AQ23" s="144">
        <v>188.60295969609365</v>
      </c>
      <c r="AR23" s="144">
        <v>188.60295969609365</v>
      </c>
      <c r="AS23" s="144">
        <v>188.60295969609365</v>
      </c>
      <c r="AT23" s="144">
        <v>188.60295969609365</v>
      </c>
      <c r="AU23" s="144">
        <v>188.60295969609365</v>
      </c>
      <c r="AV23" s="144">
        <v>188.60295969609365</v>
      </c>
      <c r="AW23" s="144">
        <v>188.60295969609365</v>
      </c>
    </row>
    <row r="24" spans="1:49" ht="14.4" x14ac:dyDescent="0.3">
      <c r="A24" s="324">
        <v>1979</v>
      </c>
      <c r="B24" s="144" t="s">
        <v>111</v>
      </c>
      <c r="C24" s="144" t="s">
        <v>111</v>
      </c>
      <c r="D24" s="144" t="s">
        <v>111</v>
      </c>
      <c r="E24" s="144" t="s">
        <v>111</v>
      </c>
      <c r="F24" s="144" t="s">
        <v>111</v>
      </c>
      <c r="G24" s="144" t="s">
        <v>111</v>
      </c>
      <c r="H24" s="144" t="s">
        <v>111</v>
      </c>
      <c r="I24" s="144" t="s">
        <v>111</v>
      </c>
      <c r="J24" s="144" t="s">
        <v>111</v>
      </c>
      <c r="K24" s="144" t="s">
        <v>111</v>
      </c>
      <c r="L24" s="144" t="s">
        <v>111</v>
      </c>
      <c r="M24" s="144" t="s">
        <v>111</v>
      </c>
      <c r="N24" s="394" t="s">
        <v>624</v>
      </c>
      <c r="O24" s="395">
        <v>3.9904766789192911</v>
      </c>
      <c r="P24" s="395">
        <v>4.01482601374361</v>
      </c>
      <c r="Q24" s="395">
        <v>4.3326598086871808</v>
      </c>
      <c r="R24" s="395">
        <v>5.4999700596903649</v>
      </c>
      <c r="S24" s="395">
        <v>5.2176121356968856</v>
      </c>
      <c r="T24" s="395">
        <v>5.5677503733731726</v>
      </c>
      <c r="U24" s="395">
        <v>5.4310138086975686</v>
      </c>
      <c r="V24" s="395">
        <v>5.6676571841582328</v>
      </c>
      <c r="W24" s="395">
        <v>6.5141999711154082</v>
      </c>
      <c r="X24" s="395">
        <v>5.2847745733943352</v>
      </c>
      <c r="Y24" s="395">
        <v>4.8573682917754466</v>
      </c>
      <c r="Z24" s="395">
        <v>4.1870605337751519</v>
      </c>
      <c r="AA24" s="144" t="s">
        <v>100</v>
      </c>
      <c r="AB24" s="144" t="s">
        <v>203</v>
      </c>
      <c r="AC24" s="144">
        <v>1.2</v>
      </c>
      <c r="AD24" s="269">
        <v>10000</v>
      </c>
      <c r="AE24" s="144">
        <v>1.35</v>
      </c>
      <c r="AF24" s="325">
        <v>0.5</v>
      </c>
      <c r="AI24" s="273" t="s">
        <v>12</v>
      </c>
      <c r="AJ24" s="144" t="s">
        <v>95</v>
      </c>
      <c r="AK24" s="273" t="s">
        <v>203</v>
      </c>
      <c r="AL24" s="144">
        <v>188.60295969609365</v>
      </c>
      <c r="AM24" s="144">
        <v>188.60295969609365</v>
      </c>
      <c r="AN24" s="144">
        <v>188.60295969609365</v>
      </c>
      <c r="AO24" s="144">
        <v>188.60295969609365</v>
      </c>
      <c r="AP24" s="144">
        <v>188.60295969609365</v>
      </c>
      <c r="AQ24" s="144">
        <v>188.60295969609365</v>
      </c>
      <c r="AR24" s="144">
        <v>188.60295969609365</v>
      </c>
      <c r="AS24" s="144">
        <v>188.60295969609365</v>
      </c>
      <c r="AT24" s="144">
        <v>188.60295969609365</v>
      </c>
      <c r="AU24" s="144">
        <v>188.60295969609365</v>
      </c>
      <c r="AV24" s="144">
        <v>188.60295969609365</v>
      </c>
      <c r="AW24" s="144">
        <v>188.60295969609365</v>
      </c>
    </row>
    <row r="25" spans="1:49" x14ac:dyDescent="0.3">
      <c r="A25" s="324">
        <v>1980</v>
      </c>
      <c r="B25" s="144" t="s">
        <v>111</v>
      </c>
      <c r="C25" s="144" t="s">
        <v>111</v>
      </c>
      <c r="D25" s="144" t="s">
        <v>111</v>
      </c>
      <c r="E25" s="144" t="s">
        <v>111</v>
      </c>
      <c r="F25" s="144" t="s">
        <v>111</v>
      </c>
      <c r="G25" s="144" t="s">
        <v>111</v>
      </c>
      <c r="H25" s="144" t="s">
        <v>111</v>
      </c>
      <c r="I25" s="144" t="s">
        <v>111</v>
      </c>
      <c r="J25" s="144" t="s">
        <v>111</v>
      </c>
      <c r="K25" s="144" t="s">
        <v>111</v>
      </c>
      <c r="L25" s="144" t="s">
        <v>111</v>
      </c>
      <c r="M25" s="144" t="s">
        <v>111</v>
      </c>
      <c r="N25" s="394" t="s">
        <v>625</v>
      </c>
      <c r="O25" s="395">
        <v>4.0169603241556144</v>
      </c>
      <c r="P25" s="395">
        <v>4.5663132293131996</v>
      </c>
      <c r="Q25" s="395">
        <v>5.2101515661358802</v>
      </c>
      <c r="R25" s="395">
        <v>5.8193431774969948</v>
      </c>
      <c r="S25" s="395">
        <v>6.0091905336666951</v>
      </c>
      <c r="T25" s="395">
        <v>5.6505305806529691</v>
      </c>
      <c r="U25" s="395">
        <v>5.5543801849397791</v>
      </c>
      <c r="V25" s="395">
        <v>5.9208531950398022</v>
      </c>
      <c r="W25" s="395">
        <v>6.4057647746784552</v>
      </c>
      <c r="X25" s="395">
        <v>5.8377940757073379</v>
      </c>
      <c r="Y25" s="395">
        <v>4.6220451802828002</v>
      </c>
      <c r="Z25" s="395">
        <v>4.0533663981834929</v>
      </c>
      <c r="AA25" s="322" t="s">
        <v>172</v>
      </c>
      <c r="AB25" s="144" t="s">
        <v>221</v>
      </c>
      <c r="AC25" s="144">
        <v>1.1499999999999999</v>
      </c>
      <c r="AD25" s="269">
        <v>10000</v>
      </c>
      <c r="AE25" s="144">
        <v>1</v>
      </c>
      <c r="AF25" s="325">
        <v>0.5</v>
      </c>
      <c r="AI25" s="273" t="s">
        <v>12</v>
      </c>
      <c r="AJ25" s="144" t="s">
        <v>96</v>
      </c>
      <c r="AK25" s="273" t="s">
        <v>221</v>
      </c>
      <c r="AL25" s="144">
        <v>157.16913308007804</v>
      </c>
      <c r="AM25" s="144">
        <v>157.16913308007804</v>
      </c>
      <c r="AN25" s="144">
        <v>157.16913308007804</v>
      </c>
      <c r="AO25" s="144">
        <v>157.16913308007804</v>
      </c>
      <c r="AP25" s="144">
        <v>157.16913308007804</v>
      </c>
      <c r="AQ25" s="144">
        <v>157.16913308007804</v>
      </c>
      <c r="AR25" s="144">
        <v>157.16913308007804</v>
      </c>
      <c r="AS25" s="144">
        <v>157.16913308007804</v>
      </c>
      <c r="AT25" s="144">
        <v>157.16913308007804</v>
      </c>
      <c r="AU25" s="144">
        <v>157.16913308007804</v>
      </c>
      <c r="AV25" s="144">
        <v>157.16913308007804</v>
      </c>
      <c r="AW25" s="144">
        <v>157.16913308007804</v>
      </c>
    </row>
    <row r="26" spans="1:49" x14ac:dyDescent="0.3">
      <c r="A26" s="324">
        <v>1981</v>
      </c>
      <c r="B26" s="144" t="s">
        <v>111</v>
      </c>
      <c r="C26" s="144" t="s">
        <v>111</v>
      </c>
      <c r="D26" s="144" t="s">
        <v>111</v>
      </c>
      <c r="E26" s="144" t="s">
        <v>111</v>
      </c>
      <c r="F26" s="144" t="s">
        <v>111</v>
      </c>
      <c r="G26" s="144" t="s">
        <v>111</v>
      </c>
      <c r="H26" s="144" t="s">
        <v>111</v>
      </c>
      <c r="I26" s="144" t="s">
        <v>111</v>
      </c>
      <c r="J26" s="144" t="s">
        <v>111</v>
      </c>
      <c r="K26" s="144" t="s">
        <v>111</v>
      </c>
      <c r="L26" s="144" t="s">
        <v>111</v>
      </c>
      <c r="M26" s="144" t="s">
        <v>111</v>
      </c>
      <c r="N26" s="394" t="s">
        <v>626</v>
      </c>
      <c r="O26" s="395">
        <v>3.9619493999691691</v>
      </c>
      <c r="P26" s="395">
        <v>4.307008283023726</v>
      </c>
      <c r="Q26" s="395">
        <v>4.7741520773629</v>
      </c>
      <c r="R26" s="395">
        <v>5.0776460882787768</v>
      </c>
      <c r="S26" s="395">
        <v>5.5996511848097121</v>
      </c>
      <c r="T26" s="395">
        <v>5.4781435217663246</v>
      </c>
      <c r="U26" s="395">
        <v>5.3763072600085851</v>
      </c>
      <c r="V26" s="395">
        <v>5.8045811031783652</v>
      </c>
      <c r="W26" s="395">
        <v>6.0655759416481461</v>
      </c>
      <c r="X26" s="395">
        <v>5.548988314252874</v>
      </c>
      <c r="Y26" s="395">
        <v>4.1874085475584941</v>
      </c>
      <c r="Z26" s="395">
        <v>3.9750738880743959</v>
      </c>
      <c r="AA26" s="322" t="s">
        <v>172</v>
      </c>
      <c r="AB26" s="144" t="s">
        <v>212</v>
      </c>
      <c r="AC26" s="144">
        <v>1.1499999999999999</v>
      </c>
      <c r="AD26" s="269">
        <v>10000</v>
      </c>
      <c r="AE26" s="144">
        <v>1</v>
      </c>
      <c r="AF26" s="325">
        <v>0.5</v>
      </c>
      <c r="AI26" s="273" t="s">
        <v>12</v>
      </c>
      <c r="AJ26" s="144" t="s">
        <v>96</v>
      </c>
      <c r="AK26" s="273" t="s">
        <v>212</v>
      </c>
      <c r="AL26" s="144">
        <v>157.16913308007804</v>
      </c>
      <c r="AM26" s="144">
        <v>157.16913308007804</v>
      </c>
      <c r="AN26" s="144">
        <v>157.16913308007804</v>
      </c>
      <c r="AO26" s="144">
        <v>157.16913308007804</v>
      </c>
      <c r="AP26" s="144">
        <v>157.16913308007804</v>
      </c>
      <c r="AQ26" s="144">
        <v>157.16913308007804</v>
      </c>
      <c r="AR26" s="144">
        <v>157.16913308007804</v>
      </c>
      <c r="AS26" s="144">
        <v>157.16913308007804</v>
      </c>
      <c r="AT26" s="144">
        <v>157.16913308007804</v>
      </c>
      <c r="AU26" s="144">
        <v>157.16913308007804</v>
      </c>
      <c r="AV26" s="144">
        <v>157.16913308007804</v>
      </c>
      <c r="AW26" s="144">
        <v>157.16913308007804</v>
      </c>
    </row>
    <row r="27" spans="1:49" x14ac:dyDescent="0.3">
      <c r="A27" s="324">
        <v>1982</v>
      </c>
      <c r="B27" s="144" t="s">
        <v>111</v>
      </c>
      <c r="C27" s="144" t="s">
        <v>111</v>
      </c>
      <c r="D27" s="144" t="s">
        <v>111</v>
      </c>
      <c r="E27" s="144" t="s">
        <v>111</v>
      </c>
      <c r="F27" s="144" t="s">
        <v>111</v>
      </c>
      <c r="G27" s="144" t="s">
        <v>111</v>
      </c>
      <c r="H27" s="144" t="s">
        <v>111</v>
      </c>
      <c r="I27" s="144" t="s">
        <v>111</v>
      </c>
      <c r="J27" s="144" t="s">
        <v>111</v>
      </c>
      <c r="K27" s="144" t="s">
        <v>111</v>
      </c>
      <c r="L27" s="144" t="s">
        <v>111</v>
      </c>
      <c r="M27" s="144" t="s">
        <v>111</v>
      </c>
      <c r="N27" s="394" t="s">
        <v>627</v>
      </c>
      <c r="O27" s="395">
        <v>3.3884548424904311</v>
      </c>
      <c r="P27" s="395">
        <v>4.1845160801827239</v>
      </c>
      <c r="Q27" s="395">
        <v>4.5375825781904533</v>
      </c>
      <c r="R27" s="395">
        <v>4.9997164016687332</v>
      </c>
      <c r="S27" s="395">
        <v>5.8976834154146918</v>
      </c>
      <c r="T27" s="395">
        <v>5.3344427683991889</v>
      </c>
      <c r="U27" s="395">
        <v>5.4993925716872436</v>
      </c>
      <c r="V27" s="395">
        <v>5.7878398019692803</v>
      </c>
      <c r="W27" s="395">
        <v>5.7505436884452754</v>
      </c>
      <c r="X27" s="395">
        <v>5.1501435591897433</v>
      </c>
      <c r="Y27" s="395">
        <v>4.8660155689897078</v>
      </c>
      <c r="Z27" s="395">
        <v>3.929004176041913</v>
      </c>
      <c r="AA27" s="322" t="s">
        <v>172</v>
      </c>
      <c r="AB27" s="144" t="s">
        <v>203</v>
      </c>
      <c r="AC27" s="144">
        <v>1.1499999999999999</v>
      </c>
      <c r="AD27" s="269">
        <v>10000</v>
      </c>
      <c r="AE27" s="144">
        <v>1</v>
      </c>
      <c r="AF27" s="325">
        <v>0.5</v>
      </c>
      <c r="AI27" s="273" t="s">
        <v>12</v>
      </c>
      <c r="AJ27" s="144" t="s">
        <v>96</v>
      </c>
      <c r="AK27" s="273" t="s">
        <v>203</v>
      </c>
      <c r="AL27" s="144">
        <v>157.16913308007804</v>
      </c>
      <c r="AM27" s="144">
        <v>157.16913308007804</v>
      </c>
      <c r="AN27" s="144">
        <v>157.16913308007804</v>
      </c>
      <c r="AO27" s="144">
        <v>157.16913308007804</v>
      </c>
      <c r="AP27" s="144">
        <v>157.16913308007804</v>
      </c>
      <c r="AQ27" s="144">
        <v>157.16913308007804</v>
      </c>
      <c r="AR27" s="144">
        <v>157.16913308007804</v>
      </c>
      <c r="AS27" s="144">
        <v>157.16913308007804</v>
      </c>
      <c r="AT27" s="144">
        <v>157.16913308007804</v>
      </c>
      <c r="AU27" s="144">
        <v>157.16913308007804</v>
      </c>
      <c r="AV27" s="144">
        <v>157.16913308007804</v>
      </c>
      <c r="AW27" s="144">
        <v>157.16913308007804</v>
      </c>
    </row>
    <row r="28" spans="1:49" x14ac:dyDescent="0.3">
      <c r="A28" s="324">
        <v>1983</v>
      </c>
      <c r="B28" s="144" t="s">
        <v>111</v>
      </c>
      <c r="C28" s="144" t="s">
        <v>111</v>
      </c>
      <c r="D28" s="144" t="s">
        <v>111</v>
      </c>
      <c r="E28" s="144" t="s">
        <v>111</v>
      </c>
      <c r="F28" s="144" t="s">
        <v>111</v>
      </c>
      <c r="G28" s="144" t="s">
        <v>111</v>
      </c>
      <c r="H28" s="144" t="s">
        <v>111</v>
      </c>
      <c r="I28" s="144" t="s">
        <v>111</v>
      </c>
      <c r="J28" s="144" t="s">
        <v>111</v>
      </c>
      <c r="K28" s="144" t="s">
        <v>111</v>
      </c>
      <c r="L28" s="144" t="s">
        <v>111</v>
      </c>
      <c r="M28" s="144" t="s">
        <v>111</v>
      </c>
      <c r="N28" s="394" t="s">
        <v>628</v>
      </c>
      <c r="O28" s="395">
        <v>3.5231276342398332</v>
      </c>
      <c r="P28" s="395">
        <v>4.2291293813679136</v>
      </c>
      <c r="Q28" s="395">
        <v>4.3663328435658002</v>
      </c>
      <c r="R28" s="395">
        <v>5.8675307548572819</v>
      </c>
      <c r="S28" s="395">
        <v>5.9596646604022014</v>
      </c>
      <c r="T28" s="395">
        <v>5.6068247905628947</v>
      </c>
      <c r="U28" s="395">
        <v>5.3500843417346413</v>
      </c>
      <c r="V28" s="395">
        <v>6.0404970248689898</v>
      </c>
      <c r="W28" s="395">
        <v>6.3084693187791414</v>
      </c>
      <c r="X28" s="395">
        <v>6.0861426150012043</v>
      </c>
      <c r="Y28" s="395">
        <v>5.1952261613393684</v>
      </c>
      <c r="Z28" s="395">
        <v>3.984232911942434</v>
      </c>
      <c r="AA28" s="313"/>
      <c r="AB28" s="312"/>
      <c r="AC28" s="154"/>
      <c r="AD28" s="154"/>
      <c r="AE28" s="154"/>
      <c r="AF28" s="311"/>
      <c r="AI28" s="273" t="s">
        <v>12</v>
      </c>
      <c r="AJ28" s="144" t="s">
        <v>97</v>
      </c>
      <c r="AK28" s="273" t="s">
        <v>221</v>
      </c>
      <c r="AL28" s="144">
        <v>172.88604638808587</v>
      </c>
      <c r="AM28" s="144">
        <v>172.88604638808587</v>
      </c>
      <c r="AN28" s="144">
        <v>172.88604638808587</v>
      </c>
      <c r="AO28" s="144">
        <v>172.88604638808587</v>
      </c>
      <c r="AP28" s="144">
        <v>172.88604638808587</v>
      </c>
      <c r="AQ28" s="144">
        <v>172.88604638808587</v>
      </c>
      <c r="AR28" s="144">
        <v>172.88604638808587</v>
      </c>
      <c r="AS28" s="144">
        <v>172.88604638808587</v>
      </c>
      <c r="AT28" s="144">
        <v>172.88604638808587</v>
      </c>
      <c r="AU28" s="144">
        <v>172.88604638808587</v>
      </c>
      <c r="AV28" s="144">
        <v>172.88604638808587</v>
      </c>
      <c r="AW28" s="144">
        <v>172.88604638808587</v>
      </c>
    </row>
    <row r="29" spans="1:49" x14ac:dyDescent="0.3">
      <c r="A29" s="324">
        <v>1984</v>
      </c>
      <c r="B29" s="144" t="s">
        <v>111</v>
      </c>
      <c r="C29" s="144" t="s">
        <v>111</v>
      </c>
      <c r="D29" s="144" t="s">
        <v>111</v>
      </c>
      <c r="E29" s="144" t="s">
        <v>111</v>
      </c>
      <c r="F29" s="144" t="s">
        <v>111</v>
      </c>
      <c r="G29" s="144" t="s">
        <v>111</v>
      </c>
      <c r="H29" s="144" t="s">
        <v>111</v>
      </c>
      <c r="I29" s="144" t="s">
        <v>111</v>
      </c>
      <c r="J29" s="144" t="s">
        <v>111</v>
      </c>
      <c r="K29" s="144" t="s">
        <v>111</v>
      </c>
      <c r="L29" s="144" t="s">
        <v>111</v>
      </c>
      <c r="M29" s="144" t="s">
        <v>111</v>
      </c>
      <c r="N29" s="394" t="s">
        <v>629</v>
      </c>
      <c r="O29" s="395">
        <v>3.9430085645223678</v>
      </c>
      <c r="P29" s="395">
        <v>4.2024345197773414</v>
      </c>
      <c r="Q29" s="395">
        <v>4.8166516572472586</v>
      </c>
      <c r="R29" s="395">
        <v>5.280389548650148</v>
      </c>
      <c r="S29" s="395">
        <v>5.8028504749062</v>
      </c>
      <c r="T29" s="395">
        <v>5.7451607399667246</v>
      </c>
      <c r="U29" s="395">
        <v>5.4329803211896976</v>
      </c>
      <c r="V29" s="395">
        <v>6.0732819029207841</v>
      </c>
      <c r="W29" s="395">
        <v>6.4936693856180936</v>
      </c>
      <c r="X29" s="395">
        <v>5.6592587426571637</v>
      </c>
      <c r="Y29" s="395">
        <v>4.4727328778744564</v>
      </c>
      <c r="Z29" s="395">
        <v>3.8492450042060229</v>
      </c>
      <c r="AA29" s="313"/>
      <c r="AB29" s="312"/>
      <c r="AC29" s="154"/>
      <c r="AD29" s="154"/>
      <c r="AE29" s="154"/>
      <c r="AF29" s="311"/>
      <c r="AI29" s="273" t="s">
        <v>12</v>
      </c>
      <c r="AJ29" s="144" t="s">
        <v>97</v>
      </c>
      <c r="AK29" s="273" t="s">
        <v>212</v>
      </c>
      <c r="AL29" s="144">
        <v>172.88604638808587</v>
      </c>
      <c r="AM29" s="144">
        <v>172.88604638808587</v>
      </c>
      <c r="AN29" s="144">
        <v>172.88604638808587</v>
      </c>
      <c r="AO29" s="144">
        <v>172.88604638808587</v>
      </c>
      <c r="AP29" s="144">
        <v>172.88604638808587</v>
      </c>
      <c r="AQ29" s="144">
        <v>172.88604638808587</v>
      </c>
      <c r="AR29" s="144">
        <v>172.88604638808587</v>
      </c>
      <c r="AS29" s="144">
        <v>172.88604638808587</v>
      </c>
      <c r="AT29" s="144">
        <v>172.88604638808587</v>
      </c>
      <c r="AU29" s="144">
        <v>172.88604638808587</v>
      </c>
      <c r="AV29" s="144">
        <v>172.88604638808587</v>
      </c>
      <c r="AW29" s="144">
        <v>172.88604638808587</v>
      </c>
    </row>
    <row r="30" spans="1:49" x14ac:dyDescent="0.3">
      <c r="A30" s="324">
        <v>1985</v>
      </c>
      <c r="B30" s="144" t="s">
        <v>111</v>
      </c>
      <c r="C30" s="144" t="s">
        <v>111</v>
      </c>
      <c r="D30" s="144" t="s">
        <v>111</v>
      </c>
      <c r="E30" s="144" t="s">
        <v>111</v>
      </c>
      <c r="F30" s="144" t="s">
        <v>111</v>
      </c>
      <c r="G30" s="144" t="s">
        <v>111</v>
      </c>
      <c r="H30" s="144" t="s">
        <v>111</v>
      </c>
      <c r="I30" s="144" t="s">
        <v>111</v>
      </c>
      <c r="J30" s="144" t="s">
        <v>111</v>
      </c>
      <c r="K30" s="144" t="s">
        <v>111</v>
      </c>
      <c r="L30" s="144" t="s">
        <v>111</v>
      </c>
      <c r="M30" s="144" t="s">
        <v>111</v>
      </c>
      <c r="N30" s="394" t="s">
        <v>630</v>
      </c>
      <c r="O30" s="395">
        <v>3.8262146000881772</v>
      </c>
      <c r="P30" s="395">
        <v>3.913487958230697</v>
      </c>
      <c r="Q30" s="395">
        <v>4.693984266291217</v>
      </c>
      <c r="R30" s="395">
        <v>5.4623465445824264</v>
      </c>
      <c r="S30" s="395">
        <v>5.8925429967586931</v>
      </c>
      <c r="T30" s="395">
        <v>5.5909046922114491</v>
      </c>
      <c r="U30" s="395">
        <v>5.4365261070205726</v>
      </c>
      <c r="V30" s="395">
        <v>5.380608590918154</v>
      </c>
      <c r="W30" s="395">
        <v>5.9195419461246237</v>
      </c>
      <c r="X30" s="395">
        <v>5.4103102976168724</v>
      </c>
      <c r="Y30" s="395">
        <v>4.833611907974376</v>
      </c>
      <c r="Z30" s="395">
        <v>3.8290678620318328</v>
      </c>
      <c r="AA30" s="313"/>
      <c r="AB30" s="312"/>
      <c r="AC30" s="154"/>
      <c r="AD30" s="154"/>
      <c r="AE30" s="154"/>
      <c r="AF30" s="311"/>
      <c r="AI30" s="273" t="s">
        <v>12</v>
      </c>
      <c r="AJ30" s="144" t="s">
        <v>97</v>
      </c>
      <c r="AK30" s="273" t="s">
        <v>203</v>
      </c>
      <c r="AL30" s="144">
        <v>172.88604638808587</v>
      </c>
      <c r="AM30" s="144">
        <v>172.88604638808587</v>
      </c>
      <c r="AN30" s="144">
        <v>172.88604638808587</v>
      </c>
      <c r="AO30" s="144">
        <v>172.88604638808587</v>
      </c>
      <c r="AP30" s="144">
        <v>172.88604638808587</v>
      </c>
      <c r="AQ30" s="144">
        <v>172.88604638808587</v>
      </c>
      <c r="AR30" s="144">
        <v>172.88604638808587</v>
      </c>
      <c r="AS30" s="144">
        <v>172.88604638808587</v>
      </c>
      <c r="AT30" s="144">
        <v>172.88604638808587</v>
      </c>
      <c r="AU30" s="144">
        <v>172.88604638808587</v>
      </c>
      <c r="AV30" s="144">
        <v>172.88604638808587</v>
      </c>
      <c r="AW30" s="144">
        <v>172.88604638808587</v>
      </c>
    </row>
    <row r="31" spans="1:49" x14ac:dyDescent="0.3">
      <c r="A31" s="324">
        <v>1986</v>
      </c>
      <c r="B31" s="144" t="s">
        <v>111</v>
      </c>
      <c r="C31" s="144" t="s">
        <v>111</v>
      </c>
      <c r="D31" s="144" t="s">
        <v>111</v>
      </c>
      <c r="E31" s="144" t="s">
        <v>111</v>
      </c>
      <c r="F31" s="144" t="s">
        <v>111</v>
      </c>
      <c r="G31" s="144" t="s">
        <v>111</v>
      </c>
      <c r="H31" s="144" t="s">
        <v>111</v>
      </c>
      <c r="I31" s="144" t="s">
        <v>111</v>
      </c>
      <c r="J31" s="144" t="s">
        <v>111</v>
      </c>
      <c r="K31" s="144" t="s">
        <v>111</v>
      </c>
      <c r="L31" s="144" t="s">
        <v>111</v>
      </c>
      <c r="M31" s="144" t="s">
        <v>111</v>
      </c>
      <c r="N31" s="394" t="s">
        <v>631</v>
      </c>
      <c r="O31" s="395">
        <v>4.1688235794406943</v>
      </c>
      <c r="P31" s="395">
        <v>4.1387143826282724</v>
      </c>
      <c r="Q31" s="395">
        <v>4.5413347837745821</v>
      </c>
      <c r="R31" s="395">
        <v>5.4740928710622114</v>
      </c>
      <c r="S31" s="395">
        <v>5.5615051638851654</v>
      </c>
      <c r="T31" s="395">
        <v>5.4965993907929578</v>
      </c>
      <c r="U31" s="395">
        <v>5.3586990072040948</v>
      </c>
      <c r="V31" s="395">
        <v>5.4920528224148049</v>
      </c>
      <c r="W31" s="395">
        <v>6.045891493919477</v>
      </c>
      <c r="X31" s="395">
        <v>5.5220062145225928</v>
      </c>
      <c r="Y31" s="395">
        <v>4.7586997422511246</v>
      </c>
      <c r="Z31" s="395">
        <v>4.108505637771934</v>
      </c>
      <c r="AA31" s="313"/>
      <c r="AB31" s="312"/>
      <c r="AC31" s="154"/>
      <c r="AD31" s="154"/>
      <c r="AE31" s="154"/>
      <c r="AF31" s="311"/>
      <c r="AI31" s="273" t="s">
        <v>12</v>
      </c>
      <c r="AJ31" s="144" t="s">
        <v>98</v>
      </c>
      <c r="AK31" s="273" t="s">
        <v>221</v>
      </c>
      <c r="AL31" s="144">
        <v>180.74450304208972</v>
      </c>
      <c r="AM31" s="144">
        <v>180.74450304208972</v>
      </c>
      <c r="AN31" s="144">
        <v>180.74450304208972</v>
      </c>
      <c r="AO31" s="144">
        <v>180.74450304208972</v>
      </c>
      <c r="AP31" s="144">
        <v>180.74450304208972</v>
      </c>
      <c r="AQ31" s="144">
        <v>180.74450304208972</v>
      </c>
      <c r="AR31" s="144">
        <v>180.74450304208972</v>
      </c>
      <c r="AS31" s="144">
        <v>180.74450304208972</v>
      </c>
      <c r="AT31" s="144">
        <v>180.74450304208972</v>
      </c>
      <c r="AU31" s="144">
        <v>180.74450304208972</v>
      </c>
      <c r="AV31" s="144">
        <v>180.74450304208972</v>
      </c>
      <c r="AW31" s="144">
        <v>180.74450304208972</v>
      </c>
    </row>
    <row r="32" spans="1:49" x14ac:dyDescent="0.3">
      <c r="A32" s="324">
        <v>1987</v>
      </c>
      <c r="B32" s="144" t="s">
        <v>111</v>
      </c>
      <c r="C32" s="144" t="s">
        <v>111</v>
      </c>
      <c r="D32" s="144" t="s">
        <v>111</v>
      </c>
      <c r="E32" s="144" t="s">
        <v>111</v>
      </c>
      <c r="F32" s="144" t="s">
        <v>111</v>
      </c>
      <c r="G32" s="144" t="s">
        <v>111</v>
      </c>
      <c r="H32" s="144" t="s">
        <v>111</v>
      </c>
      <c r="I32" s="144" t="s">
        <v>111</v>
      </c>
      <c r="J32" s="144" t="s">
        <v>111</v>
      </c>
      <c r="K32" s="144" t="s">
        <v>111</v>
      </c>
      <c r="L32" s="144" t="s">
        <v>111</v>
      </c>
      <c r="M32" s="144" t="s">
        <v>111</v>
      </c>
      <c r="N32" s="394" t="s">
        <v>632</v>
      </c>
      <c r="O32" s="395">
        <v>3.899885730754395</v>
      </c>
      <c r="P32" s="395">
        <v>3.711730547799752</v>
      </c>
      <c r="Q32" s="395">
        <v>4.6617599611322422</v>
      </c>
      <c r="R32" s="395">
        <v>5.0485809091437286</v>
      </c>
      <c r="S32" s="395">
        <v>5.7825962712854979</v>
      </c>
      <c r="T32" s="395">
        <v>5.6646352271252578</v>
      </c>
      <c r="U32" s="395">
        <v>5.5468316354620413</v>
      </c>
      <c r="V32" s="395">
        <v>5.3975753740074062</v>
      </c>
      <c r="W32" s="395">
        <v>6.1457202843081493</v>
      </c>
      <c r="X32" s="395">
        <v>5.8311890972299381</v>
      </c>
      <c r="Y32" s="395">
        <v>4.5070676004982566</v>
      </c>
      <c r="Z32" s="395">
        <v>3.9600675905726188</v>
      </c>
      <c r="AA32" s="313"/>
      <c r="AB32" s="312"/>
      <c r="AC32" s="154"/>
      <c r="AD32" s="154"/>
      <c r="AE32" s="154"/>
      <c r="AF32" s="311"/>
      <c r="AI32" s="273" t="s">
        <v>12</v>
      </c>
      <c r="AJ32" s="144" t="s">
        <v>98</v>
      </c>
      <c r="AK32" s="273" t="s">
        <v>212</v>
      </c>
      <c r="AL32" s="144">
        <v>180.74450304208972</v>
      </c>
      <c r="AM32" s="144">
        <v>180.74450304208972</v>
      </c>
      <c r="AN32" s="144">
        <v>180.74450304208972</v>
      </c>
      <c r="AO32" s="144">
        <v>180.74450304208972</v>
      </c>
      <c r="AP32" s="144">
        <v>180.74450304208972</v>
      </c>
      <c r="AQ32" s="144">
        <v>180.74450304208972</v>
      </c>
      <c r="AR32" s="144">
        <v>180.74450304208972</v>
      </c>
      <c r="AS32" s="144">
        <v>180.74450304208972</v>
      </c>
      <c r="AT32" s="144">
        <v>180.74450304208972</v>
      </c>
      <c r="AU32" s="144">
        <v>180.74450304208972</v>
      </c>
      <c r="AV32" s="144">
        <v>180.74450304208972</v>
      </c>
      <c r="AW32" s="144">
        <v>180.74450304208972</v>
      </c>
    </row>
    <row r="33" spans="1:49" x14ac:dyDescent="0.3">
      <c r="A33" s="324">
        <v>1988</v>
      </c>
      <c r="B33" s="144" t="s">
        <v>111</v>
      </c>
      <c r="C33" s="144" t="s">
        <v>111</v>
      </c>
      <c r="D33" s="144" t="s">
        <v>111</v>
      </c>
      <c r="E33" s="144" t="s">
        <v>111</v>
      </c>
      <c r="F33" s="144" t="s">
        <v>111</v>
      </c>
      <c r="G33" s="144" t="s">
        <v>111</v>
      </c>
      <c r="H33" s="144" t="s">
        <v>111</v>
      </c>
      <c r="I33" s="144" t="s">
        <v>111</v>
      </c>
      <c r="J33" s="144" t="s">
        <v>111</v>
      </c>
      <c r="K33" s="144" t="s">
        <v>111</v>
      </c>
      <c r="L33" s="144" t="s">
        <v>111</v>
      </c>
      <c r="M33" s="144" t="s">
        <v>111</v>
      </c>
      <c r="N33" s="394" t="s">
        <v>633</v>
      </c>
      <c r="O33" s="395">
        <v>3.8594634254610982</v>
      </c>
      <c r="P33" s="395">
        <v>4.2751934170657417</v>
      </c>
      <c r="Q33" s="395">
        <v>4.6840294964409406</v>
      </c>
      <c r="R33" s="395">
        <v>6.1787136755940217</v>
      </c>
      <c r="S33" s="395">
        <v>5.9194526854467266</v>
      </c>
      <c r="T33" s="395">
        <v>5.79903679593777</v>
      </c>
      <c r="U33" s="395">
        <v>5.5181838398831724</v>
      </c>
      <c r="V33" s="395">
        <v>6.0194139856843289</v>
      </c>
      <c r="W33" s="395">
        <v>5.9863018973489224</v>
      </c>
      <c r="X33" s="395">
        <v>5.4821939702269429</v>
      </c>
      <c r="Y33" s="395">
        <v>4.6953039948167232</v>
      </c>
      <c r="Z33" s="395">
        <v>3.958102654537333</v>
      </c>
      <c r="AA33" s="313"/>
      <c r="AB33" s="312"/>
      <c r="AC33" s="154"/>
      <c r="AD33" s="154"/>
      <c r="AE33" s="154"/>
      <c r="AF33" s="311"/>
      <c r="AI33" s="273" t="s">
        <v>12</v>
      </c>
      <c r="AJ33" s="144" t="s">
        <v>98</v>
      </c>
      <c r="AK33" s="273" t="s">
        <v>203</v>
      </c>
      <c r="AL33" s="144">
        <v>180.74450304208972</v>
      </c>
      <c r="AM33" s="144">
        <v>180.74450304208972</v>
      </c>
      <c r="AN33" s="144">
        <v>180.74450304208972</v>
      </c>
      <c r="AO33" s="144">
        <v>180.74450304208972</v>
      </c>
      <c r="AP33" s="144">
        <v>180.74450304208972</v>
      </c>
      <c r="AQ33" s="144">
        <v>180.74450304208972</v>
      </c>
      <c r="AR33" s="144">
        <v>180.74450304208972</v>
      </c>
      <c r="AS33" s="144">
        <v>180.74450304208972</v>
      </c>
      <c r="AT33" s="144">
        <v>180.74450304208972</v>
      </c>
      <c r="AU33" s="144">
        <v>180.74450304208972</v>
      </c>
      <c r="AV33" s="144">
        <v>180.74450304208972</v>
      </c>
      <c r="AW33" s="144">
        <v>180.74450304208972</v>
      </c>
    </row>
    <row r="34" spans="1:49" x14ac:dyDescent="0.3">
      <c r="A34" s="324">
        <v>1989</v>
      </c>
      <c r="B34" s="144" t="s">
        <v>111</v>
      </c>
      <c r="C34" s="144" t="s">
        <v>111</v>
      </c>
      <c r="D34" s="144" t="s">
        <v>111</v>
      </c>
      <c r="E34" s="144" t="s">
        <v>111</v>
      </c>
      <c r="F34" s="144" t="s">
        <v>111</v>
      </c>
      <c r="G34" s="144" t="s">
        <v>111</v>
      </c>
      <c r="H34" s="144" t="s">
        <v>111</v>
      </c>
      <c r="I34" s="144" t="s">
        <v>111</v>
      </c>
      <c r="J34" s="144" t="s">
        <v>111</v>
      </c>
      <c r="K34" s="144" t="s">
        <v>111</v>
      </c>
      <c r="L34" s="144" t="s">
        <v>111</v>
      </c>
      <c r="M34" s="144" t="s">
        <v>111</v>
      </c>
      <c r="N34" s="394" t="s">
        <v>634</v>
      </c>
      <c r="O34" s="395">
        <v>3.9419933945981351</v>
      </c>
      <c r="P34" s="395">
        <v>4.2219424249397806</v>
      </c>
      <c r="Q34" s="395">
        <v>5.1996937971498989</v>
      </c>
      <c r="R34" s="395">
        <v>5.3630388314381232</v>
      </c>
      <c r="S34" s="395">
        <v>5.9452451821276293</v>
      </c>
      <c r="T34" s="395">
        <v>5.8106372792688834</v>
      </c>
      <c r="U34" s="395">
        <v>5.2744671820548987</v>
      </c>
      <c r="V34" s="395">
        <v>6.1003504873927028</v>
      </c>
      <c r="W34" s="395">
        <v>6.7232492548957321</v>
      </c>
      <c r="X34" s="395">
        <v>5.5733450649376914</v>
      </c>
      <c r="Y34" s="395">
        <v>5.0085864365431867</v>
      </c>
      <c r="Z34" s="395">
        <v>4.2609579686648003</v>
      </c>
      <c r="AA34" s="313"/>
      <c r="AB34" s="312"/>
      <c r="AC34" s="154"/>
      <c r="AD34" s="154"/>
      <c r="AE34" s="154"/>
      <c r="AF34" s="311"/>
      <c r="AI34" s="273" t="s">
        <v>271</v>
      </c>
      <c r="AJ34" s="144" t="s">
        <v>94</v>
      </c>
      <c r="AK34" s="273" t="s">
        <v>221</v>
      </c>
      <c r="AL34" s="418">
        <v>180.74450304208972</v>
      </c>
      <c r="AM34" s="418">
        <v>180.74450304208972</v>
      </c>
      <c r="AN34" s="418">
        <v>180.74450304208972</v>
      </c>
      <c r="AO34" s="418">
        <v>180.74450304208972</v>
      </c>
      <c r="AP34" s="418">
        <v>180.74450304208972</v>
      </c>
      <c r="AQ34" s="418">
        <v>180.74450304208972</v>
      </c>
      <c r="AR34" s="418">
        <v>180.74450304208972</v>
      </c>
      <c r="AS34" s="418">
        <v>180.74450304208972</v>
      </c>
      <c r="AT34" s="418">
        <v>180.74450304208972</v>
      </c>
      <c r="AU34" s="418">
        <v>180.74450304208972</v>
      </c>
      <c r="AV34" s="418">
        <v>180.74450304208972</v>
      </c>
      <c r="AW34" s="418">
        <v>180.74450304208972</v>
      </c>
    </row>
    <row r="35" spans="1:49" x14ac:dyDescent="0.3">
      <c r="A35" s="324">
        <v>1990</v>
      </c>
      <c r="B35" s="144" t="s">
        <v>111</v>
      </c>
      <c r="C35" s="144" t="s">
        <v>111</v>
      </c>
      <c r="D35" s="144" t="s">
        <v>111</v>
      </c>
      <c r="E35" s="144" t="s">
        <v>111</v>
      </c>
      <c r="F35" s="144" t="s">
        <v>111</v>
      </c>
      <c r="G35" s="144" t="s">
        <v>111</v>
      </c>
      <c r="H35" s="144" t="s">
        <v>111</v>
      </c>
      <c r="I35" s="144" t="s">
        <v>111</v>
      </c>
      <c r="J35" s="144" t="s">
        <v>111</v>
      </c>
      <c r="K35" s="144" t="s">
        <v>111</v>
      </c>
      <c r="L35" s="144" t="s">
        <v>111</v>
      </c>
      <c r="M35" s="144" t="s">
        <v>111</v>
      </c>
      <c r="N35" s="394" t="s">
        <v>635</v>
      </c>
      <c r="O35" s="395">
        <v>4.1646924298836723</v>
      </c>
      <c r="P35" s="395">
        <v>4.437916664781608</v>
      </c>
      <c r="Q35" s="395">
        <v>4.8897041378815063</v>
      </c>
      <c r="R35" s="395">
        <v>5.2067570909339347</v>
      </c>
      <c r="S35" s="395">
        <v>5.9080157230460539</v>
      </c>
      <c r="T35" s="395">
        <v>5.5231187524187977</v>
      </c>
      <c r="U35" s="395">
        <v>5.4771397555263182</v>
      </c>
      <c r="V35" s="395">
        <v>6.0072274354243618</v>
      </c>
      <c r="W35" s="395">
        <v>6.6146809560445003</v>
      </c>
      <c r="X35" s="395">
        <v>5.1097287486778384</v>
      </c>
      <c r="Y35" s="395">
        <v>4.659965303742462</v>
      </c>
      <c r="Z35" s="395">
        <v>3.7122660259020561</v>
      </c>
      <c r="AA35" s="313"/>
      <c r="AB35" s="312"/>
      <c r="AC35" s="154"/>
      <c r="AD35" s="154"/>
      <c r="AE35" s="154"/>
      <c r="AF35" s="311"/>
      <c r="AI35" s="273" t="s">
        <v>271</v>
      </c>
      <c r="AJ35" s="144" t="s">
        <v>94</v>
      </c>
      <c r="AK35" s="273" t="s">
        <v>212</v>
      </c>
      <c r="AL35" s="418">
        <v>180.74450304208972</v>
      </c>
      <c r="AM35" s="418">
        <v>180.74450304208972</v>
      </c>
      <c r="AN35" s="418">
        <v>180.74450304208972</v>
      </c>
      <c r="AO35" s="418">
        <v>180.74450304208972</v>
      </c>
      <c r="AP35" s="418">
        <v>180.74450304208972</v>
      </c>
      <c r="AQ35" s="418">
        <v>180.74450304208972</v>
      </c>
      <c r="AR35" s="418">
        <v>180.74450304208972</v>
      </c>
      <c r="AS35" s="418">
        <v>180.74450304208972</v>
      </c>
      <c r="AT35" s="418">
        <v>180.74450304208972</v>
      </c>
      <c r="AU35" s="418">
        <v>180.74450304208972</v>
      </c>
      <c r="AV35" s="418">
        <v>180.74450304208972</v>
      </c>
      <c r="AW35" s="418">
        <v>180.74450304208972</v>
      </c>
    </row>
    <row r="36" spans="1:49" x14ac:dyDescent="0.3">
      <c r="A36" s="324">
        <v>1991</v>
      </c>
      <c r="B36" s="144" t="s">
        <v>111</v>
      </c>
      <c r="C36" s="144" t="s">
        <v>111</v>
      </c>
      <c r="D36" s="144" t="s">
        <v>111</v>
      </c>
      <c r="E36" s="144" t="s">
        <v>111</v>
      </c>
      <c r="F36" s="144" t="s">
        <v>111</v>
      </c>
      <c r="G36" s="144" t="s">
        <v>111</v>
      </c>
      <c r="H36" s="144" t="s">
        <v>111</v>
      </c>
      <c r="I36" s="144" t="s">
        <v>111</v>
      </c>
      <c r="J36" s="144" t="s">
        <v>111</v>
      </c>
      <c r="K36" s="144" t="s">
        <v>111</v>
      </c>
      <c r="L36" s="144" t="s">
        <v>111</v>
      </c>
      <c r="M36" s="144" t="s">
        <v>111</v>
      </c>
      <c r="N36" s="394" t="s">
        <v>636</v>
      </c>
      <c r="O36" s="395">
        <v>3.9441185611495531</v>
      </c>
      <c r="P36" s="395">
        <v>4.0810044804689856</v>
      </c>
      <c r="Q36" s="395">
        <v>4.7066356337978634</v>
      </c>
      <c r="R36" s="395">
        <v>5.3674152670627873</v>
      </c>
      <c r="S36" s="395">
        <v>6.127697230855663</v>
      </c>
      <c r="T36" s="395">
        <v>5.7880935376084048</v>
      </c>
      <c r="U36" s="395">
        <v>5.596255643571812</v>
      </c>
      <c r="V36" s="395">
        <v>6.0121164052374318</v>
      </c>
      <c r="W36" s="395">
        <v>5.7109032557491668</v>
      </c>
      <c r="X36" s="395">
        <v>6.0311056482950018</v>
      </c>
      <c r="Y36" s="395">
        <v>4.6260013412709746</v>
      </c>
      <c r="Z36" s="395">
        <v>4.0149001562582196</v>
      </c>
      <c r="AA36" s="313"/>
      <c r="AB36" s="312"/>
      <c r="AC36" s="154"/>
      <c r="AD36" s="154"/>
      <c r="AE36" s="154"/>
      <c r="AF36" s="311"/>
      <c r="AI36" s="273" t="s">
        <v>271</v>
      </c>
      <c r="AJ36" s="144" t="s">
        <v>94</v>
      </c>
      <c r="AK36" s="273" t="s">
        <v>203</v>
      </c>
      <c r="AL36" s="418">
        <v>180.74450304208972</v>
      </c>
      <c r="AM36" s="418">
        <v>180.74450304208972</v>
      </c>
      <c r="AN36" s="418">
        <v>180.74450304208972</v>
      </c>
      <c r="AO36" s="418">
        <v>180.74450304208972</v>
      </c>
      <c r="AP36" s="418">
        <v>180.74450304208972</v>
      </c>
      <c r="AQ36" s="418">
        <v>180.74450304208972</v>
      </c>
      <c r="AR36" s="418">
        <v>180.74450304208972</v>
      </c>
      <c r="AS36" s="418">
        <v>180.74450304208972</v>
      </c>
      <c r="AT36" s="418">
        <v>180.74450304208972</v>
      </c>
      <c r="AU36" s="418">
        <v>180.74450304208972</v>
      </c>
      <c r="AV36" s="418">
        <v>180.74450304208972</v>
      </c>
      <c r="AW36" s="418">
        <v>180.74450304208972</v>
      </c>
    </row>
    <row r="37" spans="1:49" x14ac:dyDescent="0.3">
      <c r="A37" s="324">
        <v>1992</v>
      </c>
      <c r="B37" s="144" t="s">
        <v>111</v>
      </c>
      <c r="C37" s="144" t="s">
        <v>111</v>
      </c>
      <c r="D37" s="144" t="s">
        <v>111</v>
      </c>
      <c r="E37" s="144" t="s">
        <v>111</v>
      </c>
      <c r="F37" s="144" t="s">
        <v>111</v>
      </c>
      <c r="G37" s="144" t="s">
        <v>111</v>
      </c>
      <c r="H37" s="144" t="s">
        <v>111</v>
      </c>
      <c r="I37" s="144" t="s">
        <v>111</v>
      </c>
      <c r="J37" s="144" t="s">
        <v>111</v>
      </c>
      <c r="K37" s="144" t="s">
        <v>111</v>
      </c>
      <c r="L37" s="144" t="s">
        <v>111</v>
      </c>
      <c r="M37" s="144" t="s">
        <v>111</v>
      </c>
      <c r="N37" s="394" t="s">
        <v>637</v>
      </c>
      <c r="O37" s="395">
        <v>3.9461626590683379</v>
      </c>
      <c r="P37" s="395">
        <v>4.4165714118929271</v>
      </c>
      <c r="Q37" s="395">
        <v>4.4395518495904263</v>
      </c>
      <c r="R37" s="395">
        <v>6.1002869681962553</v>
      </c>
      <c r="S37" s="395">
        <v>5.812723328373238</v>
      </c>
      <c r="T37" s="395">
        <v>5.9588332850286179</v>
      </c>
      <c r="U37" s="395">
        <v>5.5032778990392606</v>
      </c>
      <c r="V37" s="395">
        <v>6.0641457108466303</v>
      </c>
      <c r="W37" s="395">
        <v>6.254703866164145</v>
      </c>
      <c r="X37" s="395">
        <v>5.8018461619017438</v>
      </c>
      <c r="Y37" s="395">
        <v>4.1030058442554287</v>
      </c>
      <c r="Z37" s="395">
        <v>3.650087988163933</v>
      </c>
      <c r="AA37" s="313"/>
      <c r="AB37" s="312"/>
      <c r="AC37" s="154"/>
      <c r="AD37" s="154"/>
      <c r="AE37" s="154"/>
      <c r="AF37" s="311"/>
      <c r="AI37" s="273" t="s">
        <v>271</v>
      </c>
      <c r="AJ37" s="144" t="s">
        <v>95</v>
      </c>
      <c r="AK37" s="273" t="s">
        <v>221</v>
      </c>
      <c r="AL37" s="144">
        <v>188.60295969609365</v>
      </c>
      <c r="AM37" s="144">
        <v>188.60295969609365</v>
      </c>
      <c r="AN37" s="144">
        <v>188.60295969609365</v>
      </c>
      <c r="AO37" s="144">
        <v>188.60295969609365</v>
      </c>
      <c r="AP37" s="144">
        <v>188.60295969609365</v>
      </c>
      <c r="AQ37" s="144">
        <v>188.60295969609365</v>
      </c>
      <c r="AR37" s="144">
        <v>188.60295969609365</v>
      </c>
      <c r="AS37" s="144">
        <v>188.60295969609365</v>
      </c>
      <c r="AT37" s="144">
        <v>188.60295969609365</v>
      </c>
      <c r="AU37" s="144">
        <v>188.60295969609365</v>
      </c>
      <c r="AV37" s="144">
        <v>188.60295969609365</v>
      </c>
      <c r="AW37" s="144">
        <v>188.60295969609365</v>
      </c>
    </row>
    <row r="38" spans="1:49" x14ac:dyDescent="0.3">
      <c r="A38" s="324">
        <v>1993</v>
      </c>
      <c r="B38" s="144" t="s">
        <v>111</v>
      </c>
      <c r="C38" s="144" t="s">
        <v>111</v>
      </c>
      <c r="D38" s="144" t="s">
        <v>111</v>
      </c>
      <c r="E38" s="144" t="s">
        <v>111</v>
      </c>
      <c r="F38" s="144" t="s">
        <v>111</v>
      </c>
      <c r="G38" s="144" t="s">
        <v>111</v>
      </c>
      <c r="H38" s="144" t="s">
        <v>111</v>
      </c>
      <c r="I38" s="144" t="s">
        <v>111</v>
      </c>
      <c r="J38" s="144" t="s">
        <v>111</v>
      </c>
      <c r="K38" s="144" t="s">
        <v>111</v>
      </c>
      <c r="L38" s="144" t="s">
        <v>111</v>
      </c>
      <c r="M38" s="144" t="s">
        <v>111</v>
      </c>
      <c r="N38" s="394" t="s">
        <v>638</v>
      </c>
      <c r="O38" s="395">
        <v>4.3323872883026047</v>
      </c>
      <c r="P38" s="395">
        <v>4.2398661718442296</v>
      </c>
      <c r="Q38" s="395">
        <v>4.9640970326270137</v>
      </c>
      <c r="R38" s="395">
        <v>5.6806469139927476</v>
      </c>
      <c r="S38" s="395">
        <v>5.9851487995986972</v>
      </c>
      <c r="T38" s="395">
        <v>5.7991332086454959</v>
      </c>
      <c r="U38" s="395">
        <v>5.71926689274739</v>
      </c>
      <c r="V38" s="395">
        <v>6.1685464792578557</v>
      </c>
      <c r="W38" s="395">
        <v>6.6650363447276231</v>
      </c>
      <c r="X38" s="395">
        <v>6.1997926448028258</v>
      </c>
      <c r="Y38" s="395">
        <v>4.8923213960052241</v>
      </c>
      <c r="Z38" s="395">
        <v>3.8813044750367438</v>
      </c>
      <c r="AA38" s="313"/>
      <c r="AB38" s="312"/>
      <c r="AC38" s="154"/>
      <c r="AD38" s="154"/>
      <c r="AE38" s="154"/>
      <c r="AF38" s="311"/>
      <c r="AI38" s="273" t="s">
        <v>271</v>
      </c>
      <c r="AJ38" s="144" t="s">
        <v>95</v>
      </c>
      <c r="AK38" s="273" t="s">
        <v>212</v>
      </c>
      <c r="AL38" s="144">
        <v>188.60295969609365</v>
      </c>
      <c r="AM38" s="144">
        <v>188.60295969609365</v>
      </c>
      <c r="AN38" s="144">
        <v>188.60295969609365</v>
      </c>
      <c r="AO38" s="144">
        <v>188.60295969609365</v>
      </c>
      <c r="AP38" s="144">
        <v>188.60295969609365</v>
      </c>
      <c r="AQ38" s="144">
        <v>188.60295969609365</v>
      </c>
      <c r="AR38" s="144">
        <v>188.60295969609365</v>
      </c>
      <c r="AS38" s="144">
        <v>188.60295969609365</v>
      </c>
      <c r="AT38" s="144">
        <v>188.60295969609365</v>
      </c>
      <c r="AU38" s="144">
        <v>188.60295969609365</v>
      </c>
      <c r="AV38" s="144">
        <v>188.60295969609365</v>
      </c>
      <c r="AW38" s="144">
        <v>188.60295969609365</v>
      </c>
    </row>
    <row r="39" spans="1:49" x14ac:dyDescent="0.3">
      <c r="A39" s="324">
        <v>1994</v>
      </c>
      <c r="B39" s="144" t="s">
        <v>111</v>
      </c>
      <c r="C39" s="144" t="s">
        <v>111</v>
      </c>
      <c r="D39" s="144" t="s">
        <v>111</v>
      </c>
      <c r="E39" s="144" t="s">
        <v>111</v>
      </c>
      <c r="F39" s="144" t="s">
        <v>111</v>
      </c>
      <c r="G39" s="144" t="s">
        <v>111</v>
      </c>
      <c r="H39" s="144" t="s">
        <v>111</v>
      </c>
      <c r="I39" s="144" t="s">
        <v>111</v>
      </c>
      <c r="J39" s="144" t="s">
        <v>111</v>
      </c>
      <c r="K39" s="144" t="s">
        <v>111</v>
      </c>
      <c r="L39" s="144" t="s">
        <v>111</v>
      </c>
      <c r="M39" s="144" t="s">
        <v>111</v>
      </c>
      <c r="N39" s="394" t="s">
        <v>639</v>
      </c>
      <c r="O39" s="395">
        <v>4.1541668111661938</v>
      </c>
      <c r="P39" s="395">
        <v>4.2931667727763694</v>
      </c>
      <c r="Q39" s="395">
        <v>4.6237053295116501</v>
      </c>
      <c r="R39" s="395">
        <v>5.4479412399673288</v>
      </c>
      <c r="S39" s="395">
        <v>5.7774092233133016</v>
      </c>
      <c r="T39" s="395">
        <v>5.6855026481405924</v>
      </c>
      <c r="U39" s="395">
        <v>5.5219529754650267</v>
      </c>
      <c r="V39" s="395">
        <v>5.6405884203047094</v>
      </c>
      <c r="W39" s="395">
        <v>6.3790866599390386</v>
      </c>
      <c r="X39" s="395">
        <v>5.7328338383319961</v>
      </c>
      <c r="Y39" s="395">
        <v>4.8324442942503847</v>
      </c>
      <c r="Z39" s="395">
        <v>4.05944096907667</v>
      </c>
      <c r="AA39" s="313"/>
      <c r="AB39" s="312"/>
      <c r="AC39" s="154"/>
      <c r="AD39" s="154"/>
      <c r="AE39" s="154"/>
      <c r="AF39" s="311"/>
      <c r="AI39" s="273" t="s">
        <v>271</v>
      </c>
      <c r="AJ39" s="144" t="s">
        <v>95</v>
      </c>
      <c r="AK39" s="273" t="s">
        <v>203</v>
      </c>
      <c r="AL39" s="144">
        <v>188.60295969609365</v>
      </c>
      <c r="AM39" s="144">
        <v>188.60295969609365</v>
      </c>
      <c r="AN39" s="144">
        <v>188.60295969609365</v>
      </c>
      <c r="AO39" s="144">
        <v>188.60295969609365</v>
      </c>
      <c r="AP39" s="144">
        <v>188.60295969609365</v>
      </c>
      <c r="AQ39" s="144">
        <v>188.60295969609365</v>
      </c>
      <c r="AR39" s="144">
        <v>188.60295969609365</v>
      </c>
      <c r="AS39" s="144">
        <v>188.60295969609365</v>
      </c>
      <c r="AT39" s="144">
        <v>188.60295969609365</v>
      </c>
      <c r="AU39" s="144">
        <v>188.60295969609365</v>
      </c>
      <c r="AV39" s="144">
        <v>188.60295969609365</v>
      </c>
      <c r="AW39" s="144">
        <v>188.60295969609365</v>
      </c>
    </row>
    <row r="40" spans="1:49" x14ac:dyDescent="0.3">
      <c r="A40" s="324">
        <v>1995</v>
      </c>
      <c r="B40" s="144" t="s">
        <v>111</v>
      </c>
      <c r="C40" s="144" t="s">
        <v>111</v>
      </c>
      <c r="D40" s="144" t="s">
        <v>111</v>
      </c>
      <c r="E40" s="144" t="s">
        <v>111</v>
      </c>
      <c r="F40" s="144" t="s">
        <v>111</v>
      </c>
      <c r="G40" s="144" t="s">
        <v>111</v>
      </c>
      <c r="H40" s="144" t="s">
        <v>111</v>
      </c>
      <c r="I40" s="144" t="s">
        <v>111</v>
      </c>
      <c r="J40" s="144" t="s">
        <v>111</v>
      </c>
      <c r="K40" s="144" t="s">
        <v>111</v>
      </c>
      <c r="L40" s="144" t="s">
        <v>111</v>
      </c>
      <c r="M40" s="144" t="s">
        <v>111</v>
      </c>
      <c r="N40" s="394"/>
      <c r="O40" s="395"/>
      <c r="P40" s="395"/>
      <c r="Q40" s="395"/>
      <c r="R40" s="395"/>
      <c r="S40" s="395"/>
      <c r="T40" s="395"/>
      <c r="U40" s="395"/>
      <c r="V40" s="395"/>
      <c r="W40" s="395"/>
      <c r="X40" s="395"/>
      <c r="Y40" s="395"/>
      <c r="Z40" s="395"/>
      <c r="AA40" s="313"/>
      <c r="AB40" s="312"/>
      <c r="AC40" s="154"/>
      <c r="AD40" s="154"/>
      <c r="AE40" s="154"/>
      <c r="AF40" s="311"/>
      <c r="AI40" s="273" t="s">
        <v>271</v>
      </c>
      <c r="AJ40" s="144" t="s">
        <v>96</v>
      </c>
      <c r="AK40" s="273" t="s">
        <v>221</v>
      </c>
      <c r="AL40" s="144">
        <v>157.16913308007804</v>
      </c>
      <c r="AM40" s="144">
        <v>157.16913308007804</v>
      </c>
      <c r="AN40" s="144">
        <v>157.16913308007804</v>
      </c>
      <c r="AO40" s="144">
        <v>157.16913308007804</v>
      </c>
      <c r="AP40" s="144">
        <v>157.16913308007804</v>
      </c>
      <c r="AQ40" s="144">
        <v>157.16913308007804</v>
      </c>
      <c r="AR40" s="144">
        <v>157.16913308007804</v>
      </c>
      <c r="AS40" s="144">
        <v>157.16913308007804</v>
      </c>
      <c r="AT40" s="144">
        <v>157.16913308007804</v>
      </c>
      <c r="AU40" s="144">
        <v>157.16913308007804</v>
      </c>
      <c r="AV40" s="144">
        <v>157.16913308007804</v>
      </c>
      <c r="AW40" s="144">
        <v>157.16913308007804</v>
      </c>
    </row>
    <row r="41" spans="1:49" x14ac:dyDescent="0.3">
      <c r="A41" s="324">
        <v>1996</v>
      </c>
      <c r="B41" s="144" t="s">
        <v>111</v>
      </c>
      <c r="C41" s="144" t="s">
        <v>111</v>
      </c>
      <c r="D41" s="144" t="s">
        <v>111</v>
      </c>
      <c r="E41" s="144" t="s">
        <v>111</v>
      </c>
      <c r="F41" s="144" t="s">
        <v>111</v>
      </c>
      <c r="G41" s="144" t="s">
        <v>111</v>
      </c>
      <c r="H41" s="144" t="s">
        <v>111</v>
      </c>
      <c r="I41" s="144" t="s">
        <v>111</v>
      </c>
      <c r="J41" s="144" t="s">
        <v>111</v>
      </c>
      <c r="K41" s="144" t="s">
        <v>111</v>
      </c>
      <c r="L41" s="144" t="s">
        <v>111</v>
      </c>
      <c r="M41" s="144" t="s">
        <v>111</v>
      </c>
      <c r="N41" s="394"/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5"/>
      <c r="Z41" s="395"/>
      <c r="AA41" s="313"/>
      <c r="AB41" s="312"/>
      <c r="AC41" s="154"/>
      <c r="AD41" s="154"/>
      <c r="AE41" s="154"/>
      <c r="AF41" s="311"/>
      <c r="AI41" s="273" t="s">
        <v>271</v>
      </c>
      <c r="AJ41" s="144" t="s">
        <v>96</v>
      </c>
      <c r="AK41" s="273" t="s">
        <v>212</v>
      </c>
      <c r="AL41" s="144">
        <v>157.16913308007804</v>
      </c>
      <c r="AM41" s="144">
        <v>157.16913308007804</v>
      </c>
      <c r="AN41" s="144">
        <v>157.16913308007804</v>
      </c>
      <c r="AO41" s="144">
        <v>157.16913308007804</v>
      </c>
      <c r="AP41" s="144">
        <v>157.16913308007804</v>
      </c>
      <c r="AQ41" s="144">
        <v>157.16913308007804</v>
      </c>
      <c r="AR41" s="144">
        <v>157.16913308007804</v>
      </c>
      <c r="AS41" s="144">
        <v>157.16913308007804</v>
      </c>
      <c r="AT41" s="144">
        <v>157.16913308007804</v>
      </c>
      <c r="AU41" s="144">
        <v>157.16913308007804</v>
      </c>
      <c r="AV41" s="144">
        <v>157.16913308007804</v>
      </c>
      <c r="AW41" s="144">
        <v>157.16913308007804</v>
      </c>
    </row>
    <row r="42" spans="1:49" x14ac:dyDescent="0.3">
      <c r="A42" s="324">
        <v>1997</v>
      </c>
      <c r="B42" s="144" t="s">
        <v>111</v>
      </c>
      <c r="C42" s="144" t="s">
        <v>111</v>
      </c>
      <c r="D42" s="144" t="s">
        <v>111</v>
      </c>
      <c r="E42" s="144" t="s">
        <v>111</v>
      </c>
      <c r="F42" s="144" t="s">
        <v>111</v>
      </c>
      <c r="G42" s="144" t="s">
        <v>111</v>
      </c>
      <c r="H42" s="144" t="s">
        <v>111</v>
      </c>
      <c r="I42" s="144" t="s">
        <v>111</v>
      </c>
      <c r="J42" s="144" t="s">
        <v>111</v>
      </c>
      <c r="K42" s="144" t="s">
        <v>111</v>
      </c>
      <c r="L42" s="144" t="s">
        <v>111</v>
      </c>
      <c r="M42" s="144" t="s">
        <v>111</v>
      </c>
      <c r="N42" s="394"/>
      <c r="O42" s="395"/>
      <c r="P42" s="395"/>
      <c r="Q42" s="395"/>
      <c r="R42" s="395"/>
      <c r="S42" s="395"/>
      <c r="T42" s="395"/>
      <c r="U42" s="395"/>
      <c r="V42" s="395"/>
      <c r="W42" s="395"/>
      <c r="X42" s="395"/>
      <c r="Y42" s="395"/>
      <c r="Z42" s="395"/>
      <c r="AA42" s="313"/>
      <c r="AB42" s="312"/>
      <c r="AC42" s="154"/>
      <c r="AD42" s="154"/>
      <c r="AE42" s="154"/>
      <c r="AF42" s="311"/>
      <c r="AI42" s="273" t="s">
        <v>271</v>
      </c>
      <c r="AJ42" s="144" t="s">
        <v>96</v>
      </c>
      <c r="AK42" s="273" t="s">
        <v>203</v>
      </c>
      <c r="AL42" s="144">
        <v>157.16913308007804</v>
      </c>
      <c r="AM42" s="144">
        <v>157.16913308007804</v>
      </c>
      <c r="AN42" s="144">
        <v>157.16913308007804</v>
      </c>
      <c r="AO42" s="144">
        <v>157.16913308007804</v>
      </c>
      <c r="AP42" s="144">
        <v>157.16913308007804</v>
      </c>
      <c r="AQ42" s="144">
        <v>157.16913308007804</v>
      </c>
      <c r="AR42" s="144">
        <v>157.16913308007804</v>
      </c>
      <c r="AS42" s="144">
        <v>157.16913308007804</v>
      </c>
      <c r="AT42" s="144">
        <v>157.16913308007804</v>
      </c>
      <c r="AU42" s="144">
        <v>157.16913308007804</v>
      </c>
      <c r="AV42" s="144">
        <v>157.16913308007804</v>
      </c>
      <c r="AW42" s="144">
        <v>157.16913308007804</v>
      </c>
    </row>
    <row r="43" spans="1:49" x14ac:dyDescent="0.3">
      <c r="A43" s="324">
        <v>1998</v>
      </c>
      <c r="B43" s="144" t="s">
        <v>111</v>
      </c>
      <c r="C43" s="144" t="s">
        <v>111</v>
      </c>
      <c r="D43" s="144" t="s">
        <v>111</v>
      </c>
      <c r="E43" s="144" t="s">
        <v>111</v>
      </c>
      <c r="F43" s="144" t="s">
        <v>111</v>
      </c>
      <c r="G43" s="144" t="s">
        <v>111</v>
      </c>
      <c r="H43" s="144" t="s">
        <v>111</v>
      </c>
      <c r="I43" s="144" t="s">
        <v>111</v>
      </c>
      <c r="J43" s="144" t="s">
        <v>111</v>
      </c>
      <c r="K43" s="144" t="s">
        <v>111</v>
      </c>
      <c r="L43" s="144" t="s">
        <v>111</v>
      </c>
      <c r="M43" s="144" t="s">
        <v>111</v>
      </c>
      <c r="N43" s="394"/>
      <c r="O43" s="395"/>
      <c r="P43" s="395"/>
      <c r="Q43" s="395"/>
      <c r="R43" s="395"/>
      <c r="S43" s="395"/>
      <c r="T43" s="395"/>
      <c r="U43" s="395"/>
      <c r="V43" s="395"/>
      <c r="W43" s="395"/>
      <c r="X43" s="395"/>
      <c r="Y43" s="395"/>
      <c r="Z43" s="395"/>
      <c r="AA43" s="313"/>
      <c r="AB43" s="312"/>
      <c r="AC43" s="154"/>
      <c r="AD43" s="154"/>
      <c r="AE43" s="154"/>
      <c r="AF43" s="311"/>
      <c r="AI43" s="273" t="s">
        <v>271</v>
      </c>
      <c r="AJ43" s="144" t="s">
        <v>97</v>
      </c>
      <c r="AK43" s="273" t="s">
        <v>221</v>
      </c>
      <c r="AL43" s="144">
        <v>172.88604638808587</v>
      </c>
      <c r="AM43" s="144">
        <v>172.88604638808587</v>
      </c>
      <c r="AN43" s="144">
        <v>172.88604638808587</v>
      </c>
      <c r="AO43" s="144">
        <v>172.88604638808587</v>
      </c>
      <c r="AP43" s="144">
        <v>172.88604638808587</v>
      </c>
      <c r="AQ43" s="144">
        <v>172.88604638808587</v>
      </c>
      <c r="AR43" s="144">
        <v>172.88604638808587</v>
      </c>
      <c r="AS43" s="144">
        <v>172.88604638808587</v>
      </c>
      <c r="AT43" s="144">
        <v>172.88604638808587</v>
      </c>
      <c r="AU43" s="144">
        <v>172.88604638808587</v>
      </c>
      <c r="AV43" s="144">
        <v>172.88604638808587</v>
      </c>
      <c r="AW43" s="144">
        <v>172.88604638808587</v>
      </c>
    </row>
    <row r="44" spans="1:49" x14ac:dyDescent="0.3">
      <c r="A44" s="324">
        <v>1999</v>
      </c>
      <c r="B44" s="144" t="s">
        <v>111</v>
      </c>
      <c r="C44" s="144" t="s">
        <v>111</v>
      </c>
      <c r="D44" s="144" t="s">
        <v>111</v>
      </c>
      <c r="E44" s="144" t="s">
        <v>111</v>
      </c>
      <c r="F44" s="144" t="s">
        <v>111</v>
      </c>
      <c r="G44" s="144" t="s">
        <v>111</v>
      </c>
      <c r="H44" s="144" t="s">
        <v>111</v>
      </c>
      <c r="I44" s="144" t="s">
        <v>111</v>
      </c>
      <c r="J44" s="144" t="s">
        <v>111</v>
      </c>
      <c r="K44" s="144" t="s">
        <v>111</v>
      </c>
      <c r="L44" s="144" t="s">
        <v>111</v>
      </c>
      <c r="M44" s="144" t="s">
        <v>111</v>
      </c>
      <c r="N44" s="394"/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5"/>
      <c r="Z44" s="395"/>
      <c r="AA44" s="313"/>
      <c r="AB44" s="312"/>
      <c r="AC44" s="154"/>
      <c r="AD44" s="154"/>
      <c r="AE44" s="154"/>
      <c r="AF44" s="311"/>
      <c r="AI44" s="273" t="s">
        <v>271</v>
      </c>
      <c r="AJ44" s="144" t="s">
        <v>97</v>
      </c>
      <c r="AK44" s="273" t="s">
        <v>212</v>
      </c>
      <c r="AL44" s="144">
        <v>172.88604638808587</v>
      </c>
      <c r="AM44" s="144">
        <v>172.88604638808587</v>
      </c>
      <c r="AN44" s="144">
        <v>172.88604638808587</v>
      </c>
      <c r="AO44" s="144">
        <v>172.88604638808587</v>
      </c>
      <c r="AP44" s="144">
        <v>172.88604638808587</v>
      </c>
      <c r="AQ44" s="144">
        <v>172.88604638808587</v>
      </c>
      <c r="AR44" s="144">
        <v>172.88604638808587</v>
      </c>
      <c r="AS44" s="144">
        <v>172.88604638808587</v>
      </c>
      <c r="AT44" s="144">
        <v>172.88604638808587</v>
      </c>
      <c r="AU44" s="144">
        <v>172.88604638808587</v>
      </c>
      <c r="AV44" s="144">
        <v>172.88604638808587</v>
      </c>
      <c r="AW44" s="144">
        <v>172.88604638808587</v>
      </c>
    </row>
    <row r="45" spans="1:49" x14ac:dyDescent="0.3">
      <c r="A45" s="324">
        <v>2000</v>
      </c>
      <c r="B45" s="144" t="s">
        <v>111</v>
      </c>
      <c r="C45" s="144" t="s">
        <v>111</v>
      </c>
      <c r="D45" s="144" t="s">
        <v>111</v>
      </c>
      <c r="E45" s="144" t="s">
        <v>111</v>
      </c>
      <c r="F45" s="144" t="s">
        <v>111</v>
      </c>
      <c r="G45" s="144" t="s">
        <v>111</v>
      </c>
      <c r="H45" s="144" t="s">
        <v>111</v>
      </c>
      <c r="I45" s="144" t="s">
        <v>111</v>
      </c>
      <c r="J45" s="144" t="s">
        <v>111</v>
      </c>
      <c r="K45" s="144" t="s">
        <v>111</v>
      </c>
      <c r="L45" s="144" t="s">
        <v>111</v>
      </c>
      <c r="M45" s="144" t="s">
        <v>111</v>
      </c>
      <c r="N45" s="394"/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  <c r="AA45" s="313"/>
      <c r="AB45" s="312"/>
      <c r="AC45" s="154"/>
      <c r="AD45" s="154"/>
      <c r="AE45" s="154"/>
      <c r="AF45" s="311"/>
      <c r="AI45" s="273" t="s">
        <v>271</v>
      </c>
      <c r="AJ45" s="144" t="s">
        <v>97</v>
      </c>
      <c r="AK45" s="273" t="s">
        <v>203</v>
      </c>
      <c r="AL45" s="144">
        <v>172.88604638808587</v>
      </c>
      <c r="AM45" s="144">
        <v>172.88604638808587</v>
      </c>
      <c r="AN45" s="144">
        <v>172.88604638808587</v>
      </c>
      <c r="AO45" s="144">
        <v>172.88604638808587</v>
      </c>
      <c r="AP45" s="144">
        <v>172.88604638808587</v>
      </c>
      <c r="AQ45" s="144">
        <v>172.88604638808587</v>
      </c>
      <c r="AR45" s="144">
        <v>172.88604638808587</v>
      </c>
      <c r="AS45" s="144">
        <v>172.88604638808587</v>
      </c>
      <c r="AT45" s="144">
        <v>172.88604638808587</v>
      </c>
      <c r="AU45" s="144">
        <v>172.88604638808587</v>
      </c>
      <c r="AV45" s="144">
        <v>172.88604638808587</v>
      </c>
      <c r="AW45" s="144">
        <v>172.88604638808587</v>
      </c>
    </row>
    <row r="46" spans="1:49" x14ac:dyDescent="0.3">
      <c r="A46" s="324">
        <v>2001</v>
      </c>
      <c r="B46" s="144" t="s">
        <v>111</v>
      </c>
      <c r="C46" s="144" t="s">
        <v>111</v>
      </c>
      <c r="D46" s="144" t="s">
        <v>111</v>
      </c>
      <c r="E46" s="144" t="s">
        <v>111</v>
      </c>
      <c r="F46" s="144" t="s">
        <v>111</v>
      </c>
      <c r="G46" s="144" t="s">
        <v>111</v>
      </c>
      <c r="H46" s="144" t="s">
        <v>111</v>
      </c>
      <c r="I46" s="144" t="s">
        <v>111</v>
      </c>
      <c r="J46" s="144" t="s">
        <v>111</v>
      </c>
      <c r="K46" s="144" t="s">
        <v>111</v>
      </c>
      <c r="L46" s="144" t="s">
        <v>111</v>
      </c>
      <c r="M46" s="144" t="s">
        <v>111</v>
      </c>
      <c r="N46" s="394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13"/>
      <c r="AB46" s="312"/>
      <c r="AC46" s="154"/>
      <c r="AD46" s="154"/>
      <c r="AE46" s="154"/>
      <c r="AF46" s="311"/>
      <c r="AI46" s="273" t="s">
        <v>271</v>
      </c>
      <c r="AJ46" s="144" t="s">
        <v>98</v>
      </c>
      <c r="AK46" s="273" t="s">
        <v>221</v>
      </c>
      <c r="AL46" s="144">
        <v>180.74450304208972</v>
      </c>
      <c r="AM46" s="144">
        <v>180.74450304208972</v>
      </c>
      <c r="AN46" s="144">
        <v>180.74450304208972</v>
      </c>
      <c r="AO46" s="144">
        <v>180.74450304208972</v>
      </c>
      <c r="AP46" s="144">
        <v>180.74450304208972</v>
      </c>
      <c r="AQ46" s="144">
        <v>180.74450304208972</v>
      </c>
      <c r="AR46" s="144">
        <v>180.74450304208972</v>
      </c>
      <c r="AS46" s="144">
        <v>180.74450304208972</v>
      </c>
      <c r="AT46" s="144">
        <v>180.74450304208972</v>
      </c>
      <c r="AU46" s="144">
        <v>180.74450304208972</v>
      </c>
      <c r="AV46" s="144">
        <v>180.74450304208972</v>
      </c>
      <c r="AW46" s="144">
        <v>180.74450304208972</v>
      </c>
    </row>
    <row r="47" spans="1:49" x14ac:dyDescent="0.3">
      <c r="A47" s="324">
        <v>2002</v>
      </c>
      <c r="B47" s="144" t="s">
        <v>111</v>
      </c>
      <c r="C47" s="144" t="s">
        <v>111</v>
      </c>
      <c r="D47" s="144" t="s">
        <v>111</v>
      </c>
      <c r="E47" s="144" t="s">
        <v>111</v>
      </c>
      <c r="F47" s="144" t="s">
        <v>111</v>
      </c>
      <c r="G47" s="144" t="s">
        <v>111</v>
      </c>
      <c r="H47" s="144" t="s">
        <v>111</v>
      </c>
      <c r="I47" s="144" t="s">
        <v>111</v>
      </c>
      <c r="J47" s="144" t="s">
        <v>111</v>
      </c>
      <c r="K47" s="144" t="s">
        <v>111</v>
      </c>
      <c r="L47" s="144" t="s">
        <v>111</v>
      </c>
      <c r="M47" s="144" t="s">
        <v>111</v>
      </c>
      <c r="N47" s="394"/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  <c r="AA47" s="313"/>
      <c r="AB47" s="312"/>
      <c r="AC47" s="154"/>
      <c r="AD47" s="154"/>
      <c r="AE47" s="154"/>
      <c r="AF47" s="311"/>
      <c r="AI47" s="273" t="s">
        <v>271</v>
      </c>
      <c r="AJ47" s="144" t="s">
        <v>98</v>
      </c>
      <c r="AK47" s="273" t="s">
        <v>212</v>
      </c>
      <c r="AL47" s="144">
        <v>180.74450304208972</v>
      </c>
      <c r="AM47" s="144">
        <v>180.74450304208972</v>
      </c>
      <c r="AN47" s="144">
        <v>180.74450304208972</v>
      </c>
      <c r="AO47" s="144">
        <v>180.74450304208972</v>
      </c>
      <c r="AP47" s="144">
        <v>180.74450304208972</v>
      </c>
      <c r="AQ47" s="144">
        <v>180.74450304208972</v>
      </c>
      <c r="AR47" s="144">
        <v>180.74450304208972</v>
      </c>
      <c r="AS47" s="144">
        <v>180.74450304208972</v>
      </c>
      <c r="AT47" s="144">
        <v>180.74450304208972</v>
      </c>
      <c r="AU47" s="144">
        <v>180.74450304208972</v>
      </c>
      <c r="AV47" s="144">
        <v>180.74450304208972</v>
      </c>
      <c r="AW47" s="144">
        <v>180.74450304208972</v>
      </c>
    </row>
    <row r="48" spans="1:49" x14ac:dyDescent="0.3">
      <c r="A48" s="324">
        <v>2003</v>
      </c>
      <c r="B48" s="144" t="s">
        <v>111</v>
      </c>
      <c r="C48" s="144" t="s">
        <v>111</v>
      </c>
      <c r="D48" s="144" t="s">
        <v>111</v>
      </c>
      <c r="E48" s="144" t="s">
        <v>111</v>
      </c>
      <c r="F48" s="144" t="s">
        <v>111</v>
      </c>
      <c r="G48" s="144" t="s">
        <v>111</v>
      </c>
      <c r="H48" s="144" t="s">
        <v>111</v>
      </c>
      <c r="I48" s="144" t="s">
        <v>111</v>
      </c>
      <c r="J48" s="144" t="s">
        <v>111</v>
      </c>
      <c r="K48" s="144" t="s">
        <v>111</v>
      </c>
      <c r="L48" s="144" t="s">
        <v>111</v>
      </c>
      <c r="M48" s="144" t="s">
        <v>111</v>
      </c>
      <c r="N48" s="394"/>
      <c r="O48" s="395"/>
      <c r="P48" s="395"/>
      <c r="Q48" s="395"/>
      <c r="R48" s="395"/>
      <c r="S48" s="395"/>
      <c r="T48" s="395"/>
      <c r="U48" s="395"/>
      <c r="V48" s="395"/>
      <c r="W48" s="395"/>
      <c r="X48" s="395"/>
      <c r="Y48" s="395"/>
      <c r="Z48" s="395"/>
      <c r="AA48" s="313"/>
      <c r="AB48" s="312"/>
      <c r="AC48" s="154"/>
      <c r="AD48" s="154"/>
      <c r="AE48" s="154"/>
      <c r="AF48" s="311"/>
      <c r="AI48" s="273" t="s">
        <v>271</v>
      </c>
      <c r="AJ48" s="144" t="s">
        <v>98</v>
      </c>
      <c r="AK48" s="273" t="s">
        <v>203</v>
      </c>
      <c r="AL48" s="144">
        <v>180.74450304208972</v>
      </c>
      <c r="AM48" s="144">
        <v>180.74450304208972</v>
      </c>
      <c r="AN48" s="144">
        <v>180.74450304208972</v>
      </c>
      <c r="AO48" s="144">
        <v>180.74450304208972</v>
      </c>
      <c r="AP48" s="144">
        <v>180.74450304208972</v>
      </c>
      <c r="AQ48" s="144">
        <v>180.74450304208972</v>
      </c>
      <c r="AR48" s="144">
        <v>180.74450304208972</v>
      </c>
      <c r="AS48" s="144">
        <v>180.74450304208972</v>
      </c>
      <c r="AT48" s="144">
        <v>180.74450304208972</v>
      </c>
      <c r="AU48" s="144">
        <v>180.74450304208972</v>
      </c>
      <c r="AV48" s="144">
        <v>180.74450304208972</v>
      </c>
      <c r="AW48" s="144">
        <v>180.74450304208972</v>
      </c>
    </row>
    <row r="49" spans="1:50" x14ac:dyDescent="0.3">
      <c r="A49" s="324">
        <v>2004</v>
      </c>
      <c r="B49" s="144" t="s">
        <v>111</v>
      </c>
      <c r="C49" s="144" t="s">
        <v>111</v>
      </c>
      <c r="D49" s="144" t="s">
        <v>111</v>
      </c>
      <c r="E49" s="144" t="s">
        <v>111</v>
      </c>
      <c r="F49" s="144" t="s">
        <v>111</v>
      </c>
      <c r="G49" s="144" t="s">
        <v>111</v>
      </c>
      <c r="H49" s="144" t="s">
        <v>111</v>
      </c>
      <c r="I49" s="144" t="s">
        <v>111</v>
      </c>
      <c r="J49" s="144" t="s">
        <v>111</v>
      </c>
      <c r="K49" s="144" t="s">
        <v>111</v>
      </c>
      <c r="L49" s="144" t="s">
        <v>111</v>
      </c>
      <c r="M49" s="144" t="s">
        <v>111</v>
      </c>
      <c r="N49" s="394"/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  <c r="AA49" s="313"/>
      <c r="AB49" s="312"/>
      <c r="AC49" s="154"/>
      <c r="AD49" s="154"/>
      <c r="AE49" s="154"/>
      <c r="AF49" s="311"/>
      <c r="AI49" s="273" t="s">
        <v>270</v>
      </c>
      <c r="AJ49" s="144" t="s">
        <v>94</v>
      </c>
      <c r="AK49" s="273" t="s">
        <v>221</v>
      </c>
      <c r="AL49" s="418">
        <v>180.74450304208972</v>
      </c>
      <c r="AM49" s="418">
        <v>180.74450304208972</v>
      </c>
      <c r="AN49" s="418">
        <v>180.74450304208972</v>
      </c>
      <c r="AO49" s="418">
        <v>180.74450304208972</v>
      </c>
      <c r="AP49" s="418">
        <v>180.74450304208972</v>
      </c>
      <c r="AQ49" s="418">
        <v>180.74450304208972</v>
      </c>
      <c r="AR49" s="418">
        <v>180.74450304208972</v>
      </c>
      <c r="AS49" s="418">
        <v>180.74450304208972</v>
      </c>
      <c r="AT49" s="418">
        <v>180.74450304208972</v>
      </c>
      <c r="AU49" s="418">
        <v>180.74450304208972</v>
      </c>
      <c r="AV49" s="418">
        <v>180.74450304208972</v>
      </c>
      <c r="AW49" s="418">
        <v>180.74450304208972</v>
      </c>
    </row>
    <row r="50" spans="1:50" x14ac:dyDescent="0.3">
      <c r="A50" s="324">
        <v>2005</v>
      </c>
      <c r="B50" s="144" t="s">
        <v>111</v>
      </c>
      <c r="C50" s="144" t="s">
        <v>111</v>
      </c>
      <c r="D50" s="144" t="s">
        <v>111</v>
      </c>
      <c r="E50" s="144" t="s">
        <v>111</v>
      </c>
      <c r="F50" s="144" t="s">
        <v>111</v>
      </c>
      <c r="G50" s="144" t="s">
        <v>111</v>
      </c>
      <c r="H50" s="144" t="s">
        <v>111</v>
      </c>
      <c r="I50" s="144" t="s">
        <v>111</v>
      </c>
      <c r="J50" s="144" t="s">
        <v>111</v>
      </c>
      <c r="K50" s="144" t="s">
        <v>111</v>
      </c>
      <c r="L50" s="144" t="s">
        <v>111</v>
      </c>
      <c r="M50" s="144" t="s">
        <v>111</v>
      </c>
      <c r="N50" s="394"/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  <c r="AA50" s="313"/>
      <c r="AB50" s="312"/>
      <c r="AC50" s="154"/>
      <c r="AD50" s="154"/>
      <c r="AE50" s="154"/>
      <c r="AF50" s="311"/>
      <c r="AI50" s="273" t="s">
        <v>270</v>
      </c>
      <c r="AJ50" s="144" t="s">
        <v>94</v>
      </c>
      <c r="AK50" s="273" t="s">
        <v>212</v>
      </c>
      <c r="AL50" s="418">
        <v>180.74450304208972</v>
      </c>
      <c r="AM50" s="418">
        <v>180.74450304208972</v>
      </c>
      <c r="AN50" s="418">
        <v>180.74450304208972</v>
      </c>
      <c r="AO50" s="418">
        <v>180.74450304208972</v>
      </c>
      <c r="AP50" s="418">
        <v>180.74450304208972</v>
      </c>
      <c r="AQ50" s="418">
        <v>180.74450304208972</v>
      </c>
      <c r="AR50" s="418">
        <v>180.74450304208972</v>
      </c>
      <c r="AS50" s="418">
        <v>180.74450304208972</v>
      </c>
      <c r="AT50" s="418">
        <v>180.74450304208972</v>
      </c>
      <c r="AU50" s="418">
        <v>180.74450304208972</v>
      </c>
      <c r="AV50" s="418">
        <v>180.74450304208972</v>
      </c>
      <c r="AW50" s="418">
        <v>180.74450304208972</v>
      </c>
    </row>
    <row r="51" spans="1:50" x14ac:dyDescent="0.3">
      <c r="A51" s="324">
        <v>2006</v>
      </c>
      <c r="B51" s="144" t="s">
        <v>111</v>
      </c>
      <c r="C51" s="144" t="s">
        <v>111</v>
      </c>
      <c r="D51" s="144" t="s">
        <v>111</v>
      </c>
      <c r="E51" s="144" t="s">
        <v>111</v>
      </c>
      <c r="F51" s="144" t="s">
        <v>111</v>
      </c>
      <c r="G51" s="144" t="s">
        <v>111</v>
      </c>
      <c r="H51" s="144" t="s">
        <v>111</v>
      </c>
      <c r="I51" s="144" t="s">
        <v>111</v>
      </c>
      <c r="J51" s="144" t="s">
        <v>111</v>
      </c>
      <c r="K51" s="144" t="s">
        <v>111</v>
      </c>
      <c r="L51" s="144" t="s">
        <v>111</v>
      </c>
      <c r="M51" s="144" t="s">
        <v>111</v>
      </c>
      <c r="N51" s="394"/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  <c r="AA51" s="313"/>
      <c r="AB51" s="312"/>
      <c r="AC51" s="154"/>
      <c r="AD51" s="154"/>
      <c r="AE51" s="154"/>
      <c r="AF51" s="311"/>
      <c r="AI51" s="273" t="s">
        <v>270</v>
      </c>
      <c r="AJ51" s="144" t="s">
        <v>94</v>
      </c>
      <c r="AK51" s="273" t="s">
        <v>203</v>
      </c>
      <c r="AL51" s="418">
        <v>180.74450304208972</v>
      </c>
      <c r="AM51" s="418">
        <v>180.74450304208972</v>
      </c>
      <c r="AN51" s="418">
        <v>180.74450304208972</v>
      </c>
      <c r="AO51" s="418">
        <v>180.74450304208972</v>
      </c>
      <c r="AP51" s="418">
        <v>180.74450304208972</v>
      </c>
      <c r="AQ51" s="418">
        <v>180.74450304208972</v>
      </c>
      <c r="AR51" s="418">
        <v>180.74450304208972</v>
      </c>
      <c r="AS51" s="418">
        <v>180.74450304208972</v>
      </c>
      <c r="AT51" s="418">
        <v>180.74450304208972</v>
      </c>
      <c r="AU51" s="418">
        <v>180.74450304208972</v>
      </c>
      <c r="AV51" s="418">
        <v>180.74450304208972</v>
      </c>
      <c r="AW51" s="418">
        <v>180.74450304208972</v>
      </c>
    </row>
    <row r="52" spans="1:50" x14ac:dyDescent="0.3">
      <c r="A52" s="324">
        <v>2007</v>
      </c>
      <c r="B52" s="144" t="s">
        <v>111</v>
      </c>
      <c r="C52" s="144" t="s">
        <v>111</v>
      </c>
      <c r="D52" s="144" t="s">
        <v>111</v>
      </c>
      <c r="E52" s="144" t="s">
        <v>111</v>
      </c>
      <c r="F52" s="144" t="s">
        <v>111</v>
      </c>
      <c r="G52" s="144" t="s">
        <v>111</v>
      </c>
      <c r="H52" s="144" t="s">
        <v>111</v>
      </c>
      <c r="I52" s="144" t="s">
        <v>111</v>
      </c>
      <c r="J52" s="144" t="s">
        <v>111</v>
      </c>
      <c r="K52" s="144" t="s">
        <v>111</v>
      </c>
      <c r="L52" s="144" t="s">
        <v>111</v>
      </c>
      <c r="M52" s="144" t="s">
        <v>111</v>
      </c>
      <c r="N52" s="394"/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  <c r="AA52" s="313"/>
      <c r="AB52" s="312"/>
      <c r="AC52" s="154"/>
      <c r="AD52" s="154"/>
      <c r="AE52" s="154"/>
      <c r="AF52" s="311"/>
      <c r="AI52" s="273" t="s">
        <v>270</v>
      </c>
      <c r="AJ52" s="144" t="s">
        <v>95</v>
      </c>
      <c r="AK52" s="273" t="s">
        <v>221</v>
      </c>
      <c r="AL52" s="144">
        <v>188.60295969609365</v>
      </c>
      <c r="AM52" s="144">
        <v>188.60295969609365</v>
      </c>
      <c r="AN52" s="144">
        <v>188.60295969609365</v>
      </c>
      <c r="AO52" s="144">
        <v>188.60295969609365</v>
      </c>
      <c r="AP52" s="144">
        <v>188.60295969609365</v>
      </c>
      <c r="AQ52" s="144">
        <v>188.60295969609365</v>
      </c>
      <c r="AR52" s="144">
        <v>188.60295969609365</v>
      </c>
      <c r="AS52" s="144">
        <v>188.60295969609365</v>
      </c>
      <c r="AT52" s="144">
        <v>188.60295969609365</v>
      </c>
      <c r="AU52" s="144">
        <v>188.60295969609365</v>
      </c>
      <c r="AV52" s="144">
        <v>188.60295969609365</v>
      </c>
      <c r="AW52" s="144">
        <v>188.60295969609365</v>
      </c>
    </row>
    <row r="53" spans="1:50" x14ac:dyDescent="0.3">
      <c r="A53" s="324">
        <v>2008</v>
      </c>
      <c r="B53" s="144" t="s">
        <v>111</v>
      </c>
      <c r="C53" s="144" t="s">
        <v>111</v>
      </c>
      <c r="D53" s="144" t="s">
        <v>111</v>
      </c>
      <c r="E53" s="144" t="s">
        <v>111</v>
      </c>
      <c r="F53" s="144" t="s">
        <v>111</v>
      </c>
      <c r="G53" s="144" t="s">
        <v>111</v>
      </c>
      <c r="H53" s="144" t="s">
        <v>111</v>
      </c>
      <c r="I53" s="144" t="s">
        <v>111</v>
      </c>
      <c r="J53" s="144" t="s">
        <v>111</v>
      </c>
      <c r="K53" s="144" t="s">
        <v>111</v>
      </c>
      <c r="L53" s="144" t="s">
        <v>111</v>
      </c>
      <c r="M53" s="144" t="s">
        <v>111</v>
      </c>
      <c r="N53" s="394"/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  <c r="AA53" s="313"/>
      <c r="AB53" s="312"/>
      <c r="AC53" s="154"/>
      <c r="AD53" s="154"/>
      <c r="AE53" s="154"/>
      <c r="AF53" s="311"/>
      <c r="AI53" s="273" t="s">
        <v>270</v>
      </c>
      <c r="AJ53" s="144" t="s">
        <v>95</v>
      </c>
      <c r="AK53" s="273" t="s">
        <v>212</v>
      </c>
      <c r="AL53" s="144">
        <v>188.60295969609365</v>
      </c>
      <c r="AM53" s="144">
        <v>188.60295969609365</v>
      </c>
      <c r="AN53" s="144">
        <v>188.60295969609365</v>
      </c>
      <c r="AO53" s="144">
        <v>188.60295969609365</v>
      </c>
      <c r="AP53" s="144">
        <v>188.60295969609365</v>
      </c>
      <c r="AQ53" s="144">
        <v>188.60295969609365</v>
      </c>
      <c r="AR53" s="144">
        <v>188.60295969609365</v>
      </c>
      <c r="AS53" s="144">
        <v>188.60295969609365</v>
      </c>
      <c r="AT53" s="144">
        <v>188.60295969609365</v>
      </c>
      <c r="AU53" s="144">
        <v>188.60295969609365</v>
      </c>
      <c r="AV53" s="144">
        <v>188.60295969609365</v>
      </c>
      <c r="AW53" s="144">
        <v>188.60295969609365</v>
      </c>
    </row>
    <row r="54" spans="1:50" x14ac:dyDescent="0.3">
      <c r="A54" s="324">
        <v>2009</v>
      </c>
      <c r="B54" s="144" t="s">
        <v>111</v>
      </c>
      <c r="C54" s="144" t="s">
        <v>111</v>
      </c>
      <c r="D54" s="144" t="s">
        <v>111</v>
      </c>
      <c r="E54" s="144" t="s">
        <v>111</v>
      </c>
      <c r="F54" s="144" t="s">
        <v>111</v>
      </c>
      <c r="G54" s="144" t="s">
        <v>111</v>
      </c>
      <c r="H54" s="144" t="s">
        <v>111</v>
      </c>
      <c r="I54" s="144" t="s">
        <v>111</v>
      </c>
      <c r="J54" s="144" t="s">
        <v>111</v>
      </c>
      <c r="K54" s="144" t="s">
        <v>111</v>
      </c>
      <c r="L54" s="144" t="s">
        <v>111</v>
      </c>
      <c r="M54" s="144" t="s">
        <v>111</v>
      </c>
      <c r="N54" s="394"/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  <c r="AA54" s="313"/>
      <c r="AB54" s="312"/>
      <c r="AC54" s="154"/>
      <c r="AD54" s="154"/>
      <c r="AE54" s="154"/>
      <c r="AF54" s="311"/>
      <c r="AI54" s="273" t="s">
        <v>270</v>
      </c>
      <c r="AJ54" s="144" t="s">
        <v>95</v>
      </c>
      <c r="AK54" s="273" t="s">
        <v>203</v>
      </c>
      <c r="AL54" s="144">
        <v>188.60295969609365</v>
      </c>
      <c r="AM54" s="144">
        <v>188.60295969609365</v>
      </c>
      <c r="AN54" s="144">
        <v>188.60295969609365</v>
      </c>
      <c r="AO54" s="144">
        <v>188.60295969609365</v>
      </c>
      <c r="AP54" s="144">
        <v>188.60295969609365</v>
      </c>
      <c r="AQ54" s="144">
        <v>188.60295969609365</v>
      </c>
      <c r="AR54" s="144">
        <v>188.60295969609365</v>
      </c>
      <c r="AS54" s="144">
        <v>188.60295969609365</v>
      </c>
      <c r="AT54" s="144">
        <v>188.60295969609365</v>
      </c>
      <c r="AU54" s="144">
        <v>188.60295969609365</v>
      </c>
      <c r="AV54" s="144">
        <v>188.60295969609365</v>
      </c>
      <c r="AW54" s="144">
        <v>188.60295969609365</v>
      </c>
    </row>
    <row r="55" spans="1:50" x14ac:dyDescent="0.3">
      <c r="A55" s="324">
        <v>2010</v>
      </c>
      <c r="B55" s="144" t="s">
        <v>111</v>
      </c>
      <c r="C55" s="144" t="s">
        <v>111</v>
      </c>
      <c r="D55" s="144" t="s">
        <v>111</v>
      </c>
      <c r="E55" s="144" t="s">
        <v>111</v>
      </c>
      <c r="F55" s="144" t="s">
        <v>111</v>
      </c>
      <c r="G55" s="144" t="s">
        <v>111</v>
      </c>
      <c r="H55" s="144" t="s">
        <v>111</v>
      </c>
      <c r="I55" s="144" t="s">
        <v>111</v>
      </c>
      <c r="J55" s="144" t="s">
        <v>111</v>
      </c>
      <c r="K55" s="144" t="s">
        <v>111</v>
      </c>
      <c r="L55" s="144" t="s">
        <v>111</v>
      </c>
      <c r="M55" s="144" t="s">
        <v>111</v>
      </c>
      <c r="N55" s="394"/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  <c r="AA55" s="313"/>
      <c r="AB55" s="312"/>
      <c r="AC55" s="154"/>
      <c r="AD55" s="154"/>
      <c r="AE55" s="154"/>
      <c r="AF55" s="311"/>
      <c r="AI55" s="273" t="s">
        <v>270</v>
      </c>
      <c r="AJ55" s="144" t="s">
        <v>96</v>
      </c>
      <c r="AK55" s="273" t="s">
        <v>221</v>
      </c>
      <c r="AL55" s="144">
        <v>157.16913308007804</v>
      </c>
      <c r="AM55" s="144">
        <v>157.16913308007804</v>
      </c>
      <c r="AN55" s="144">
        <v>157.16913308007804</v>
      </c>
      <c r="AO55" s="144">
        <v>157.16913308007804</v>
      </c>
      <c r="AP55" s="144">
        <v>157.16913308007804</v>
      </c>
      <c r="AQ55" s="144">
        <v>157.16913308007804</v>
      </c>
      <c r="AR55" s="144">
        <v>157.16913308007804</v>
      </c>
      <c r="AS55" s="144">
        <v>157.16913308007804</v>
      </c>
      <c r="AT55" s="144">
        <v>157.16913308007804</v>
      </c>
      <c r="AU55" s="144">
        <v>157.16913308007804</v>
      </c>
      <c r="AV55" s="144">
        <v>157.16913308007804</v>
      </c>
      <c r="AW55" s="144">
        <v>157.16913308007804</v>
      </c>
    </row>
    <row r="56" spans="1:50" x14ac:dyDescent="0.3">
      <c r="A56" s="324">
        <v>2011</v>
      </c>
      <c r="B56" s="144" t="s">
        <v>111</v>
      </c>
      <c r="C56" s="144" t="s">
        <v>111</v>
      </c>
      <c r="D56" s="144" t="s">
        <v>111</v>
      </c>
      <c r="E56" s="144" t="s">
        <v>111</v>
      </c>
      <c r="F56" s="144" t="s">
        <v>111</v>
      </c>
      <c r="G56" s="144" t="s">
        <v>111</v>
      </c>
      <c r="H56" s="144" t="s">
        <v>111</v>
      </c>
      <c r="I56" s="144" t="s">
        <v>111</v>
      </c>
      <c r="J56" s="144" t="s">
        <v>111</v>
      </c>
      <c r="K56" s="144" t="s">
        <v>111</v>
      </c>
      <c r="L56" s="144" t="s">
        <v>111</v>
      </c>
      <c r="M56" s="144" t="s">
        <v>111</v>
      </c>
      <c r="N56" s="394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  <c r="AA56" s="313"/>
      <c r="AB56" s="312"/>
      <c r="AC56" s="154"/>
      <c r="AD56" s="154"/>
      <c r="AE56" s="154"/>
      <c r="AF56" s="311"/>
      <c r="AI56" s="273" t="s">
        <v>270</v>
      </c>
      <c r="AJ56" s="144" t="s">
        <v>96</v>
      </c>
      <c r="AK56" s="273" t="s">
        <v>212</v>
      </c>
      <c r="AL56" s="144">
        <v>157.16913308007804</v>
      </c>
      <c r="AM56" s="144">
        <v>157.16913308007804</v>
      </c>
      <c r="AN56" s="144">
        <v>157.16913308007804</v>
      </c>
      <c r="AO56" s="144">
        <v>157.16913308007804</v>
      </c>
      <c r="AP56" s="144">
        <v>157.16913308007804</v>
      </c>
      <c r="AQ56" s="144">
        <v>157.16913308007804</v>
      </c>
      <c r="AR56" s="144">
        <v>157.16913308007804</v>
      </c>
      <c r="AS56" s="144">
        <v>157.16913308007804</v>
      </c>
      <c r="AT56" s="144">
        <v>157.16913308007804</v>
      </c>
      <c r="AU56" s="144">
        <v>157.16913308007804</v>
      </c>
      <c r="AV56" s="144">
        <v>157.16913308007804</v>
      </c>
      <c r="AW56" s="144">
        <v>157.16913308007804</v>
      </c>
    </row>
    <row r="57" spans="1:50" x14ac:dyDescent="0.3">
      <c r="A57" s="324">
        <v>2012</v>
      </c>
      <c r="B57" s="144" t="s">
        <v>111</v>
      </c>
      <c r="C57" s="144" t="s">
        <v>111</v>
      </c>
      <c r="D57" s="144" t="s">
        <v>111</v>
      </c>
      <c r="E57" s="144" t="s">
        <v>111</v>
      </c>
      <c r="F57" s="144" t="s">
        <v>111</v>
      </c>
      <c r="G57" s="144" t="s">
        <v>111</v>
      </c>
      <c r="H57" s="144" t="s">
        <v>111</v>
      </c>
      <c r="I57" s="144" t="s">
        <v>111</v>
      </c>
      <c r="J57" s="144" t="s">
        <v>111</v>
      </c>
      <c r="K57" s="144" t="s">
        <v>111</v>
      </c>
      <c r="L57" s="144" t="s">
        <v>111</v>
      </c>
      <c r="M57" s="144" t="s">
        <v>111</v>
      </c>
      <c r="N57" s="394"/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  <c r="AA57" s="313"/>
      <c r="AB57" s="312"/>
      <c r="AC57" s="154"/>
      <c r="AD57" s="154"/>
      <c r="AE57" s="154"/>
      <c r="AF57" s="311"/>
      <c r="AI57" s="273" t="s">
        <v>270</v>
      </c>
      <c r="AJ57" s="144" t="s">
        <v>96</v>
      </c>
      <c r="AK57" s="273" t="s">
        <v>203</v>
      </c>
      <c r="AL57" s="144">
        <v>157.16913308007804</v>
      </c>
      <c r="AM57" s="144">
        <v>157.16913308007804</v>
      </c>
      <c r="AN57" s="144">
        <v>157.16913308007804</v>
      </c>
      <c r="AO57" s="144">
        <v>157.16913308007804</v>
      </c>
      <c r="AP57" s="144">
        <v>157.16913308007804</v>
      </c>
      <c r="AQ57" s="144">
        <v>157.16913308007804</v>
      </c>
      <c r="AR57" s="144">
        <v>157.16913308007804</v>
      </c>
      <c r="AS57" s="144">
        <v>157.16913308007804</v>
      </c>
      <c r="AT57" s="144">
        <v>157.16913308007804</v>
      </c>
      <c r="AU57" s="144">
        <v>157.16913308007804</v>
      </c>
      <c r="AV57" s="144">
        <v>157.16913308007804</v>
      </c>
      <c r="AW57" s="144">
        <v>157.16913308007804</v>
      </c>
    </row>
    <row r="58" spans="1:50" x14ac:dyDescent="0.3">
      <c r="A58" s="324">
        <v>2013</v>
      </c>
      <c r="B58" s="144" t="s">
        <v>111</v>
      </c>
      <c r="C58" s="144" t="s">
        <v>111</v>
      </c>
      <c r="D58" s="144" t="s">
        <v>111</v>
      </c>
      <c r="E58" s="144" t="s">
        <v>111</v>
      </c>
      <c r="F58" s="144" t="s">
        <v>111</v>
      </c>
      <c r="G58" s="144" t="s">
        <v>111</v>
      </c>
      <c r="H58" s="144" t="s">
        <v>111</v>
      </c>
      <c r="I58" s="144" t="s">
        <v>111</v>
      </c>
      <c r="J58" s="144" t="s">
        <v>111</v>
      </c>
      <c r="K58" s="144" t="s">
        <v>111</v>
      </c>
      <c r="L58" s="144" t="s">
        <v>111</v>
      </c>
      <c r="M58" s="144" t="s">
        <v>111</v>
      </c>
      <c r="N58" s="394"/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  <c r="AA58" s="313"/>
      <c r="AB58" s="312"/>
      <c r="AC58" s="154"/>
      <c r="AD58" s="154"/>
      <c r="AE58" s="154"/>
      <c r="AF58" s="311"/>
      <c r="AI58" s="273" t="s">
        <v>270</v>
      </c>
      <c r="AJ58" s="144" t="s">
        <v>97</v>
      </c>
      <c r="AK58" s="273" t="s">
        <v>221</v>
      </c>
      <c r="AL58" s="144">
        <v>172.88604638808587</v>
      </c>
      <c r="AM58" s="144">
        <v>172.88604638808587</v>
      </c>
      <c r="AN58" s="144">
        <v>172.88604638808587</v>
      </c>
      <c r="AO58" s="144">
        <v>172.88604638808587</v>
      </c>
      <c r="AP58" s="144">
        <v>172.88604638808587</v>
      </c>
      <c r="AQ58" s="144">
        <v>172.88604638808587</v>
      </c>
      <c r="AR58" s="144">
        <v>172.88604638808587</v>
      </c>
      <c r="AS58" s="144">
        <v>172.88604638808587</v>
      </c>
      <c r="AT58" s="144">
        <v>172.88604638808587</v>
      </c>
      <c r="AU58" s="144">
        <v>172.88604638808587</v>
      </c>
      <c r="AV58" s="144">
        <v>172.88604638808587</v>
      </c>
      <c r="AW58" s="144">
        <v>172.88604638808587</v>
      </c>
    </row>
    <row r="59" spans="1:50" x14ac:dyDescent="0.3">
      <c r="A59" s="324">
        <v>2014</v>
      </c>
      <c r="B59" s="144" t="s">
        <v>111</v>
      </c>
      <c r="C59" s="144" t="s">
        <v>111</v>
      </c>
      <c r="D59" s="144" t="s">
        <v>111</v>
      </c>
      <c r="E59" s="144" t="s">
        <v>111</v>
      </c>
      <c r="F59" s="144" t="s">
        <v>111</v>
      </c>
      <c r="G59" s="144" t="s">
        <v>111</v>
      </c>
      <c r="H59" s="144" t="s">
        <v>111</v>
      </c>
      <c r="I59" s="144" t="s">
        <v>111</v>
      </c>
      <c r="J59" s="144" t="s">
        <v>111</v>
      </c>
      <c r="K59" s="144" t="s">
        <v>111</v>
      </c>
      <c r="L59" s="144" t="s">
        <v>111</v>
      </c>
      <c r="M59" s="144" t="s">
        <v>111</v>
      </c>
      <c r="N59" s="394"/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  <c r="AA59" s="313"/>
      <c r="AB59" s="312"/>
      <c r="AC59" s="154"/>
      <c r="AD59" s="154"/>
      <c r="AE59" s="154"/>
      <c r="AF59" s="311"/>
      <c r="AI59" s="273" t="s">
        <v>270</v>
      </c>
      <c r="AJ59" s="144" t="s">
        <v>97</v>
      </c>
      <c r="AK59" s="273" t="s">
        <v>212</v>
      </c>
      <c r="AL59" s="144">
        <v>172.88604638808587</v>
      </c>
      <c r="AM59" s="144">
        <v>172.88604638808587</v>
      </c>
      <c r="AN59" s="144">
        <v>172.88604638808587</v>
      </c>
      <c r="AO59" s="144">
        <v>172.88604638808587</v>
      </c>
      <c r="AP59" s="144">
        <v>172.88604638808587</v>
      </c>
      <c r="AQ59" s="144">
        <v>172.88604638808587</v>
      </c>
      <c r="AR59" s="144">
        <v>172.88604638808587</v>
      </c>
      <c r="AS59" s="144">
        <v>172.88604638808587</v>
      </c>
      <c r="AT59" s="144">
        <v>172.88604638808587</v>
      </c>
      <c r="AU59" s="144">
        <v>172.88604638808587</v>
      </c>
      <c r="AV59" s="144">
        <v>172.88604638808587</v>
      </c>
      <c r="AW59" s="144">
        <v>172.88604638808587</v>
      </c>
    </row>
    <row r="60" spans="1:50" x14ac:dyDescent="0.3">
      <c r="A60" s="324">
        <v>2015</v>
      </c>
      <c r="B60" s="144" t="s">
        <v>111</v>
      </c>
      <c r="C60" s="144" t="s">
        <v>111</v>
      </c>
      <c r="D60" s="144" t="s">
        <v>111</v>
      </c>
      <c r="E60" s="144" t="s">
        <v>111</v>
      </c>
      <c r="F60" s="144" t="s">
        <v>111</v>
      </c>
      <c r="G60" s="144" t="s">
        <v>111</v>
      </c>
      <c r="H60" s="144" t="s">
        <v>111</v>
      </c>
      <c r="I60" s="144" t="s">
        <v>111</v>
      </c>
      <c r="J60" s="144" t="s">
        <v>111</v>
      </c>
      <c r="K60" s="144" t="s">
        <v>111</v>
      </c>
      <c r="L60" s="144" t="s">
        <v>111</v>
      </c>
      <c r="M60" s="144" t="s">
        <v>111</v>
      </c>
      <c r="N60" s="394"/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  <c r="AA60" s="313"/>
      <c r="AB60" s="312"/>
      <c r="AC60" s="154"/>
      <c r="AD60" s="154"/>
      <c r="AE60" s="154"/>
      <c r="AF60" s="311"/>
      <c r="AI60" s="273" t="s">
        <v>270</v>
      </c>
      <c r="AJ60" s="144" t="s">
        <v>97</v>
      </c>
      <c r="AK60" s="273" t="s">
        <v>203</v>
      </c>
      <c r="AL60" s="144">
        <v>172.88604638808587</v>
      </c>
      <c r="AM60" s="144">
        <v>172.88604638808587</v>
      </c>
      <c r="AN60" s="144">
        <v>172.88604638808587</v>
      </c>
      <c r="AO60" s="144">
        <v>172.88604638808587</v>
      </c>
      <c r="AP60" s="144">
        <v>172.88604638808587</v>
      </c>
      <c r="AQ60" s="144">
        <v>172.88604638808587</v>
      </c>
      <c r="AR60" s="144">
        <v>172.88604638808587</v>
      </c>
      <c r="AS60" s="144">
        <v>172.88604638808587</v>
      </c>
      <c r="AT60" s="144">
        <v>172.88604638808587</v>
      </c>
      <c r="AU60" s="144">
        <v>172.88604638808587</v>
      </c>
      <c r="AV60" s="144">
        <v>172.88604638808587</v>
      </c>
      <c r="AW60" s="144">
        <v>172.88604638808587</v>
      </c>
    </row>
    <row r="61" spans="1:50" x14ac:dyDescent="0.3">
      <c r="A61" s="324">
        <v>2016</v>
      </c>
      <c r="B61" s="144" t="s">
        <v>111</v>
      </c>
      <c r="C61" s="144" t="s">
        <v>111</v>
      </c>
      <c r="D61" s="144" t="s">
        <v>111</v>
      </c>
      <c r="E61" s="144" t="s">
        <v>111</v>
      </c>
      <c r="F61" s="144" t="s">
        <v>111</v>
      </c>
      <c r="G61" s="144" t="s">
        <v>111</v>
      </c>
      <c r="H61" s="144" t="s">
        <v>111</v>
      </c>
      <c r="I61" s="144" t="s">
        <v>111</v>
      </c>
      <c r="J61" s="144" t="s">
        <v>111</v>
      </c>
      <c r="K61" s="144" t="s">
        <v>111</v>
      </c>
      <c r="L61" s="144" t="s">
        <v>111</v>
      </c>
      <c r="M61" s="144" t="s">
        <v>111</v>
      </c>
      <c r="N61" s="394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  <c r="AA61" s="313"/>
      <c r="AB61" s="312"/>
      <c r="AC61" s="154"/>
      <c r="AD61" s="154"/>
      <c r="AE61" s="154"/>
      <c r="AF61" s="311"/>
      <c r="AI61" s="273" t="s">
        <v>270</v>
      </c>
      <c r="AJ61" s="144" t="s">
        <v>98</v>
      </c>
      <c r="AK61" s="273" t="s">
        <v>221</v>
      </c>
      <c r="AL61" s="144">
        <v>180.74450304208972</v>
      </c>
      <c r="AM61" s="144">
        <v>180.74450304208972</v>
      </c>
      <c r="AN61" s="144">
        <v>180.74450304208972</v>
      </c>
      <c r="AO61" s="144">
        <v>180.74450304208972</v>
      </c>
      <c r="AP61" s="144">
        <v>180.74450304208972</v>
      </c>
      <c r="AQ61" s="144">
        <v>180.74450304208972</v>
      </c>
      <c r="AR61" s="144">
        <v>180.74450304208972</v>
      </c>
      <c r="AS61" s="144">
        <v>180.74450304208972</v>
      </c>
      <c r="AT61" s="144">
        <v>180.74450304208972</v>
      </c>
      <c r="AU61" s="144">
        <v>180.74450304208972</v>
      </c>
      <c r="AV61" s="144">
        <v>180.74450304208972</v>
      </c>
      <c r="AW61" s="144">
        <v>180.74450304208972</v>
      </c>
    </row>
    <row r="62" spans="1:50" x14ac:dyDescent="0.3">
      <c r="A62" s="324">
        <v>2017</v>
      </c>
      <c r="B62" s="144" t="s">
        <v>111</v>
      </c>
      <c r="C62" s="144" t="s">
        <v>111</v>
      </c>
      <c r="D62" s="144" t="s">
        <v>111</v>
      </c>
      <c r="E62" s="144" t="s">
        <v>111</v>
      </c>
      <c r="F62" s="144" t="s">
        <v>111</v>
      </c>
      <c r="G62" s="144" t="s">
        <v>111</v>
      </c>
      <c r="H62" s="144" t="s">
        <v>111</v>
      </c>
      <c r="I62" s="144" t="s">
        <v>111</v>
      </c>
      <c r="J62" s="144" t="s">
        <v>111</v>
      </c>
      <c r="K62" s="144" t="s">
        <v>111</v>
      </c>
      <c r="L62" s="144" t="s">
        <v>111</v>
      </c>
      <c r="M62" s="144" t="s">
        <v>111</v>
      </c>
      <c r="N62" s="394"/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  <c r="AA62" s="313"/>
      <c r="AB62" s="312"/>
      <c r="AC62" s="154"/>
      <c r="AD62" s="154"/>
      <c r="AE62" s="154"/>
      <c r="AF62" s="311"/>
      <c r="AI62" s="273" t="s">
        <v>270</v>
      </c>
      <c r="AJ62" s="144" t="s">
        <v>98</v>
      </c>
      <c r="AK62" s="273" t="s">
        <v>212</v>
      </c>
      <c r="AL62" s="144">
        <v>180.74450304208972</v>
      </c>
      <c r="AM62" s="144">
        <v>180.74450304208972</v>
      </c>
      <c r="AN62" s="144">
        <v>180.74450304208972</v>
      </c>
      <c r="AO62" s="144">
        <v>180.74450304208972</v>
      </c>
      <c r="AP62" s="144">
        <v>180.74450304208972</v>
      </c>
      <c r="AQ62" s="144">
        <v>180.74450304208972</v>
      </c>
      <c r="AR62" s="144">
        <v>180.74450304208972</v>
      </c>
      <c r="AS62" s="144">
        <v>180.74450304208972</v>
      </c>
      <c r="AT62" s="144">
        <v>180.74450304208972</v>
      </c>
      <c r="AU62" s="144">
        <v>180.74450304208972</v>
      </c>
      <c r="AV62" s="144">
        <v>180.74450304208972</v>
      </c>
      <c r="AW62" s="144">
        <v>180.74450304208972</v>
      </c>
    </row>
    <row r="63" spans="1:50" x14ac:dyDescent="0.3">
      <c r="A63" s="324">
        <v>2018</v>
      </c>
      <c r="B63" s="144" t="s">
        <v>111</v>
      </c>
      <c r="C63" s="144" t="s">
        <v>111</v>
      </c>
      <c r="D63" s="144" t="s">
        <v>111</v>
      </c>
      <c r="E63" s="144" t="s">
        <v>111</v>
      </c>
      <c r="F63" s="144" t="s">
        <v>111</v>
      </c>
      <c r="G63" s="144" t="s">
        <v>111</v>
      </c>
      <c r="H63" s="144" t="s">
        <v>111</v>
      </c>
      <c r="I63" s="144" t="s">
        <v>111</v>
      </c>
      <c r="J63" s="144" t="s">
        <v>111</v>
      </c>
      <c r="K63" s="144" t="s">
        <v>111</v>
      </c>
      <c r="L63" s="144" t="s">
        <v>111</v>
      </c>
      <c r="M63" s="144" t="s">
        <v>111</v>
      </c>
      <c r="N63" s="394"/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  <c r="AA63" s="313"/>
      <c r="AB63" s="312"/>
      <c r="AC63" s="154"/>
      <c r="AD63" s="154"/>
      <c r="AE63" s="154"/>
      <c r="AF63" s="311"/>
      <c r="AI63" s="273" t="s">
        <v>270</v>
      </c>
      <c r="AJ63" s="144" t="s">
        <v>98</v>
      </c>
      <c r="AK63" s="273" t="s">
        <v>203</v>
      </c>
      <c r="AL63" s="144">
        <v>180.74450304208972</v>
      </c>
      <c r="AM63" s="144">
        <v>180.74450304208972</v>
      </c>
      <c r="AN63" s="144">
        <v>180.74450304208972</v>
      </c>
      <c r="AO63" s="144">
        <v>180.74450304208972</v>
      </c>
      <c r="AP63" s="144">
        <v>180.74450304208972</v>
      </c>
      <c r="AQ63" s="144">
        <v>180.74450304208972</v>
      </c>
      <c r="AR63" s="144">
        <v>180.74450304208972</v>
      </c>
      <c r="AS63" s="144">
        <v>180.74450304208972</v>
      </c>
      <c r="AT63" s="144">
        <v>180.74450304208972</v>
      </c>
      <c r="AU63" s="144">
        <v>180.74450304208972</v>
      </c>
      <c r="AV63" s="144">
        <v>180.74450304208972</v>
      </c>
      <c r="AW63" s="144">
        <v>180.74450304208972</v>
      </c>
    </row>
    <row r="64" spans="1:50" x14ac:dyDescent="0.3">
      <c r="A64" s="324">
        <v>2019</v>
      </c>
      <c r="B64" s="144" t="s">
        <v>111</v>
      </c>
      <c r="C64" s="144" t="s">
        <v>111</v>
      </c>
      <c r="D64" s="144" t="s">
        <v>111</v>
      </c>
      <c r="E64" s="144" t="s">
        <v>111</v>
      </c>
      <c r="F64" s="144" t="s">
        <v>111</v>
      </c>
      <c r="G64" s="144" t="s">
        <v>111</v>
      </c>
      <c r="H64" s="144" t="s">
        <v>111</v>
      </c>
      <c r="I64" s="144" t="s">
        <v>111</v>
      </c>
      <c r="J64" s="144" t="s">
        <v>111</v>
      </c>
      <c r="K64" s="144" t="s">
        <v>111</v>
      </c>
      <c r="L64" s="144" t="s">
        <v>111</v>
      </c>
      <c r="M64" s="144" t="s">
        <v>111</v>
      </c>
      <c r="N64" s="394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13"/>
      <c r="AB64" s="312"/>
      <c r="AC64" s="154"/>
      <c r="AD64" s="154"/>
      <c r="AE64" s="154"/>
      <c r="AF64" s="311"/>
      <c r="AH64" s="7"/>
      <c r="AI64" s="417" t="s">
        <v>11</v>
      </c>
      <c r="AJ64" s="414" t="s">
        <v>172</v>
      </c>
      <c r="AK64" s="415" t="s">
        <v>221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416">
        <v>0</v>
      </c>
      <c r="AX64" s="7"/>
    </row>
    <row r="65" spans="1:50" x14ac:dyDescent="0.3">
      <c r="A65" s="324">
        <v>2020</v>
      </c>
      <c r="B65" s="144" t="s">
        <v>111</v>
      </c>
      <c r="C65" s="144" t="s">
        <v>111</v>
      </c>
      <c r="D65" s="144" t="s">
        <v>111</v>
      </c>
      <c r="E65" s="144" t="s">
        <v>111</v>
      </c>
      <c r="F65" s="144" t="s">
        <v>111</v>
      </c>
      <c r="G65" s="144" t="s">
        <v>111</v>
      </c>
      <c r="H65" s="144" t="s">
        <v>111</v>
      </c>
      <c r="I65" s="144" t="s">
        <v>111</v>
      </c>
      <c r="J65" s="144" t="s">
        <v>111</v>
      </c>
      <c r="K65" s="144" t="s">
        <v>111</v>
      </c>
      <c r="L65" s="144" t="s">
        <v>111</v>
      </c>
      <c r="M65" s="144" t="s">
        <v>111</v>
      </c>
      <c r="N65" s="394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  <c r="AA65" s="313"/>
      <c r="AB65" s="312"/>
      <c r="AC65" s="154"/>
      <c r="AD65" s="154"/>
      <c r="AE65" s="154"/>
      <c r="AF65" s="311"/>
      <c r="AH65" s="7"/>
      <c r="AI65" s="417" t="s">
        <v>11</v>
      </c>
      <c r="AJ65" s="414" t="s">
        <v>172</v>
      </c>
      <c r="AK65" s="415" t="s">
        <v>212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416">
        <v>0</v>
      </c>
      <c r="AX65" s="7"/>
    </row>
    <row r="66" spans="1:50" x14ac:dyDescent="0.3">
      <c r="A66" s="324">
        <v>2021</v>
      </c>
      <c r="B66" s="144" t="s">
        <v>111</v>
      </c>
      <c r="C66" s="144" t="s">
        <v>111</v>
      </c>
      <c r="D66" s="144" t="s">
        <v>111</v>
      </c>
      <c r="E66" s="144" t="s">
        <v>111</v>
      </c>
      <c r="F66" s="144" t="s">
        <v>111</v>
      </c>
      <c r="G66" s="144" t="s">
        <v>111</v>
      </c>
      <c r="H66" s="144" t="s">
        <v>111</v>
      </c>
      <c r="I66" s="144" t="s">
        <v>111</v>
      </c>
      <c r="J66" s="144" t="s">
        <v>111</v>
      </c>
      <c r="K66" s="144" t="s">
        <v>111</v>
      </c>
      <c r="L66" s="144" t="s">
        <v>111</v>
      </c>
      <c r="M66" s="144" t="s">
        <v>111</v>
      </c>
      <c r="N66" s="394"/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  <c r="AA66" s="313"/>
      <c r="AB66" s="312"/>
      <c r="AC66" s="154"/>
      <c r="AD66" s="154"/>
      <c r="AE66" s="154"/>
      <c r="AF66" s="311"/>
      <c r="AH66" s="7"/>
      <c r="AI66" s="417" t="s">
        <v>11</v>
      </c>
      <c r="AJ66" s="414" t="s">
        <v>172</v>
      </c>
      <c r="AK66" s="415" t="s">
        <v>203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416">
        <v>0</v>
      </c>
      <c r="AX66" s="7"/>
    </row>
    <row r="67" spans="1:50" x14ac:dyDescent="0.3">
      <c r="A67" s="324">
        <v>2022</v>
      </c>
      <c r="B67" s="144" t="s">
        <v>111</v>
      </c>
      <c r="C67" s="144" t="s">
        <v>111</v>
      </c>
      <c r="D67" s="144" t="s">
        <v>111</v>
      </c>
      <c r="E67" s="144" t="s">
        <v>111</v>
      </c>
      <c r="F67" s="144" t="s">
        <v>111</v>
      </c>
      <c r="G67" s="144" t="s">
        <v>111</v>
      </c>
      <c r="H67" s="144" t="s">
        <v>111</v>
      </c>
      <c r="I67" s="144" t="s">
        <v>111</v>
      </c>
      <c r="J67" s="144" t="s">
        <v>111</v>
      </c>
      <c r="K67" s="144" t="s">
        <v>111</v>
      </c>
      <c r="L67" s="144" t="s">
        <v>111</v>
      </c>
      <c r="M67" s="144" t="s">
        <v>111</v>
      </c>
      <c r="N67" s="394"/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  <c r="AA67" s="313"/>
      <c r="AB67" s="312"/>
      <c r="AC67" s="154"/>
      <c r="AD67" s="154"/>
      <c r="AE67" s="154"/>
      <c r="AF67" s="311"/>
      <c r="AH67" s="7"/>
      <c r="AI67" s="417" t="s">
        <v>12</v>
      </c>
      <c r="AJ67" s="414" t="s">
        <v>172</v>
      </c>
      <c r="AK67" s="415" t="s">
        <v>221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416">
        <v>0</v>
      </c>
      <c r="AX67" s="7"/>
    </row>
    <row r="68" spans="1:50" x14ac:dyDescent="0.3">
      <c r="A68" s="324">
        <v>2023</v>
      </c>
      <c r="B68" s="144" t="s">
        <v>111</v>
      </c>
      <c r="C68" s="144" t="s">
        <v>111</v>
      </c>
      <c r="D68" s="144" t="s">
        <v>111</v>
      </c>
      <c r="E68" s="144" t="s">
        <v>111</v>
      </c>
      <c r="F68" s="144" t="s">
        <v>111</v>
      </c>
      <c r="G68" s="144" t="s">
        <v>111</v>
      </c>
      <c r="H68" s="144" t="s">
        <v>111</v>
      </c>
      <c r="I68" s="144" t="s">
        <v>111</v>
      </c>
      <c r="J68" s="144" t="s">
        <v>111</v>
      </c>
      <c r="K68" s="144" t="s">
        <v>111</v>
      </c>
      <c r="L68" s="144" t="s">
        <v>111</v>
      </c>
      <c r="M68" s="144" t="s">
        <v>111</v>
      </c>
      <c r="N68" s="394"/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  <c r="AA68" s="313"/>
      <c r="AB68" s="312"/>
      <c r="AC68" s="154"/>
      <c r="AD68" s="154"/>
      <c r="AE68" s="154"/>
      <c r="AF68" s="311"/>
      <c r="AH68" s="7"/>
      <c r="AI68" s="417" t="s">
        <v>12</v>
      </c>
      <c r="AJ68" s="414" t="s">
        <v>172</v>
      </c>
      <c r="AK68" s="415" t="s">
        <v>212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416">
        <v>0</v>
      </c>
      <c r="AX68" s="7"/>
    </row>
    <row r="69" spans="1:50" x14ac:dyDescent="0.3">
      <c r="A69" s="324">
        <v>2024</v>
      </c>
      <c r="B69" s="144" t="s">
        <v>111</v>
      </c>
      <c r="C69" s="144" t="s">
        <v>111</v>
      </c>
      <c r="D69" s="144" t="s">
        <v>111</v>
      </c>
      <c r="E69" s="144" t="s">
        <v>111</v>
      </c>
      <c r="F69" s="144" t="s">
        <v>111</v>
      </c>
      <c r="G69" s="144" t="s">
        <v>111</v>
      </c>
      <c r="H69" s="144" t="s">
        <v>111</v>
      </c>
      <c r="I69" s="144" t="s">
        <v>111</v>
      </c>
      <c r="J69" s="144" t="s">
        <v>111</v>
      </c>
      <c r="K69" s="144" t="s">
        <v>111</v>
      </c>
      <c r="L69" s="144" t="s">
        <v>111</v>
      </c>
      <c r="M69" s="144" t="s">
        <v>111</v>
      </c>
      <c r="N69" s="394"/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  <c r="AA69" s="313"/>
      <c r="AB69" s="312"/>
      <c r="AC69" s="154"/>
      <c r="AD69" s="154"/>
      <c r="AE69" s="154"/>
      <c r="AF69" s="311"/>
      <c r="AH69" s="7"/>
      <c r="AI69" s="417" t="s">
        <v>12</v>
      </c>
      <c r="AJ69" s="414" t="s">
        <v>172</v>
      </c>
      <c r="AK69" s="415" t="s">
        <v>203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416">
        <v>0</v>
      </c>
      <c r="AX69" s="7"/>
    </row>
    <row r="70" spans="1:50" x14ac:dyDescent="0.3">
      <c r="A70" s="324">
        <v>2025</v>
      </c>
      <c r="B70" s="144" t="s">
        <v>111</v>
      </c>
      <c r="C70" s="144" t="s">
        <v>111</v>
      </c>
      <c r="D70" s="144" t="s">
        <v>111</v>
      </c>
      <c r="E70" s="144" t="s">
        <v>111</v>
      </c>
      <c r="F70" s="144" t="s">
        <v>111</v>
      </c>
      <c r="G70" s="144" t="s">
        <v>111</v>
      </c>
      <c r="H70" s="144" t="s">
        <v>111</v>
      </c>
      <c r="I70" s="144" t="s">
        <v>111</v>
      </c>
      <c r="J70" s="144" t="s">
        <v>111</v>
      </c>
      <c r="K70" s="144" t="s">
        <v>111</v>
      </c>
      <c r="L70" s="144" t="s">
        <v>111</v>
      </c>
      <c r="M70" s="144" t="s">
        <v>111</v>
      </c>
      <c r="N70" s="394"/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  <c r="AH70" s="7"/>
      <c r="AI70" s="417" t="s">
        <v>271</v>
      </c>
      <c r="AJ70" s="414" t="s">
        <v>172</v>
      </c>
      <c r="AK70" s="415" t="s">
        <v>221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416">
        <v>0</v>
      </c>
      <c r="AX70" s="7"/>
    </row>
    <row r="71" spans="1:50" x14ac:dyDescent="0.3">
      <c r="A71" s="324">
        <v>2026</v>
      </c>
      <c r="B71" s="144" t="s">
        <v>111</v>
      </c>
      <c r="C71" s="144" t="s">
        <v>111</v>
      </c>
      <c r="D71" s="144" t="s">
        <v>111</v>
      </c>
      <c r="E71" s="144" t="s">
        <v>111</v>
      </c>
      <c r="F71" s="144" t="s">
        <v>111</v>
      </c>
      <c r="G71" s="144" t="s">
        <v>111</v>
      </c>
      <c r="H71" s="144" t="s">
        <v>111</v>
      </c>
      <c r="I71" s="144" t="s">
        <v>111</v>
      </c>
      <c r="J71" s="144" t="s">
        <v>111</v>
      </c>
      <c r="K71" s="144" t="s">
        <v>111</v>
      </c>
      <c r="L71" s="144" t="s">
        <v>111</v>
      </c>
      <c r="M71" s="144" t="s">
        <v>111</v>
      </c>
      <c r="N71" s="394"/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  <c r="AH71" s="7"/>
      <c r="AI71" s="417" t="s">
        <v>271</v>
      </c>
      <c r="AJ71" s="414" t="s">
        <v>172</v>
      </c>
      <c r="AK71" s="415" t="s">
        <v>212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416">
        <v>0</v>
      </c>
      <c r="AX71" s="7"/>
    </row>
    <row r="72" spans="1:50" x14ac:dyDescent="0.3">
      <c r="A72" s="324">
        <v>2027</v>
      </c>
      <c r="B72" s="144" t="s">
        <v>111</v>
      </c>
      <c r="C72" s="144" t="s">
        <v>111</v>
      </c>
      <c r="D72" s="144" t="s">
        <v>111</v>
      </c>
      <c r="E72" s="144" t="s">
        <v>111</v>
      </c>
      <c r="F72" s="144" t="s">
        <v>111</v>
      </c>
      <c r="G72" s="144" t="s">
        <v>111</v>
      </c>
      <c r="H72" s="144" t="s">
        <v>111</v>
      </c>
      <c r="I72" s="144" t="s">
        <v>111</v>
      </c>
      <c r="J72" s="144" t="s">
        <v>111</v>
      </c>
      <c r="K72" s="144" t="s">
        <v>111</v>
      </c>
      <c r="L72" s="144" t="s">
        <v>111</v>
      </c>
      <c r="M72" s="144" t="s">
        <v>111</v>
      </c>
      <c r="N72" s="394"/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5"/>
      <c r="Z72" s="395"/>
      <c r="AH72" s="7"/>
      <c r="AI72" s="417" t="s">
        <v>271</v>
      </c>
      <c r="AJ72" s="414" t="s">
        <v>172</v>
      </c>
      <c r="AK72" s="415" t="s">
        <v>203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416">
        <v>0</v>
      </c>
      <c r="AX72" s="7"/>
    </row>
    <row r="73" spans="1:50" x14ac:dyDescent="0.3">
      <c r="A73" s="324">
        <v>2028</v>
      </c>
      <c r="B73" s="144" t="s">
        <v>111</v>
      </c>
      <c r="C73" s="144" t="s">
        <v>111</v>
      </c>
      <c r="D73" s="144" t="s">
        <v>111</v>
      </c>
      <c r="E73" s="144" t="s">
        <v>111</v>
      </c>
      <c r="F73" s="144" t="s">
        <v>111</v>
      </c>
      <c r="G73" s="144" t="s">
        <v>111</v>
      </c>
      <c r="H73" s="144" t="s">
        <v>111</v>
      </c>
      <c r="I73" s="144" t="s">
        <v>111</v>
      </c>
      <c r="J73" s="144" t="s">
        <v>111</v>
      </c>
      <c r="K73" s="144" t="s">
        <v>111</v>
      </c>
      <c r="L73" s="144" t="s">
        <v>111</v>
      </c>
      <c r="M73" s="144" t="s">
        <v>111</v>
      </c>
      <c r="N73" s="394"/>
      <c r="O73" s="395"/>
      <c r="P73" s="395"/>
      <c r="Q73" s="395"/>
      <c r="R73" s="395"/>
      <c r="S73" s="395"/>
      <c r="T73" s="395"/>
      <c r="U73" s="395"/>
      <c r="V73" s="395"/>
      <c r="W73" s="395"/>
      <c r="X73" s="395"/>
      <c r="Y73" s="395"/>
      <c r="Z73" s="395"/>
      <c r="AH73" s="7"/>
      <c r="AI73" s="417" t="s">
        <v>270</v>
      </c>
      <c r="AJ73" s="414" t="s">
        <v>172</v>
      </c>
      <c r="AK73" s="415" t="s">
        <v>221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416">
        <v>0</v>
      </c>
      <c r="AX73" s="7"/>
    </row>
    <row r="74" spans="1:50" x14ac:dyDescent="0.3">
      <c r="A74" s="324">
        <v>2029</v>
      </c>
      <c r="B74" s="144" t="s">
        <v>111</v>
      </c>
      <c r="C74" s="144" t="s">
        <v>111</v>
      </c>
      <c r="D74" s="144" t="s">
        <v>111</v>
      </c>
      <c r="E74" s="144" t="s">
        <v>111</v>
      </c>
      <c r="F74" s="144" t="s">
        <v>111</v>
      </c>
      <c r="G74" s="144" t="s">
        <v>111</v>
      </c>
      <c r="H74" s="144" t="s">
        <v>111</v>
      </c>
      <c r="I74" s="144" t="s">
        <v>111</v>
      </c>
      <c r="J74" s="144" t="s">
        <v>111</v>
      </c>
      <c r="K74" s="144" t="s">
        <v>111</v>
      </c>
      <c r="L74" s="144" t="s">
        <v>111</v>
      </c>
      <c r="M74" s="144" t="s">
        <v>111</v>
      </c>
      <c r="N74" s="394"/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  <c r="AH74" s="7"/>
      <c r="AI74" s="417" t="s">
        <v>270</v>
      </c>
      <c r="AJ74" s="414" t="s">
        <v>172</v>
      </c>
      <c r="AK74" s="415" t="s">
        <v>212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416">
        <v>0</v>
      </c>
      <c r="AX74" s="7"/>
    </row>
    <row r="75" spans="1:50" x14ac:dyDescent="0.3">
      <c r="A75" s="324">
        <v>2030</v>
      </c>
      <c r="B75" s="144" t="s">
        <v>111</v>
      </c>
      <c r="C75" s="144" t="s">
        <v>111</v>
      </c>
      <c r="D75" s="144" t="s">
        <v>111</v>
      </c>
      <c r="E75" s="144" t="s">
        <v>111</v>
      </c>
      <c r="F75" s="144" t="s">
        <v>111</v>
      </c>
      <c r="G75" s="144" t="s">
        <v>111</v>
      </c>
      <c r="H75" s="144" t="s">
        <v>111</v>
      </c>
      <c r="I75" s="144" t="s">
        <v>111</v>
      </c>
      <c r="J75" s="144" t="s">
        <v>111</v>
      </c>
      <c r="K75" s="144" t="s">
        <v>111</v>
      </c>
      <c r="L75" s="144" t="s">
        <v>111</v>
      </c>
      <c r="M75" s="144" t="s">
        <v>111</v>
      </c>
      <c r="N75" s="394"/>
      <c r="O75" s="395"/>
      <c r="P75" s="395"/>
      <c r="Q75" s="395"/>
      <c r="R75" s="395"/>
      <c r="S75" s="395"/>
      <c r="T75" s="395"/>
      <c r="U75" s="395"/>
      <c r="V75" s="395"/>
      <c r="W75" s="395"/>
      <c r="X75" s="395"/>
      <c r="Y75" s="395"/>
      <c r="Z75" s="395"/>
      <c r="AH75" s="7"/>
      <c r="AI75" s="417" t="s">
        <v>270</v>
      </c>
      <c r="AJ75" s="414" t="s">
        <v>172</v>
      </c>
      <c r="AK75" s="415" t="s">
        <v>203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416">
        <v>0</v>
      </c>
      <c r="AX75" s="7"/>
    </row>
    <row r="76" spans="1:50" x14ac:dyDescent="0.3">
      <c r="A76" s="324">
        <v>2031</v>
      </c>
      <c r="B76" s="144" t="s">
        <v>111</v>
      </c>
      <c r="C76" s="144" t="s">
        <v>111</v>
      </c>
      <c r="D76" s="144" t="s">
        <v>111</v>
      </c>
      <c r="E76" s="144" t="s">
        <v>111</v>
      </c>
      <c r="F76" s="144" t="s">
        <v>111</v>
      </c>
      <c r="G76" s="144" t="s">
        <v>111</v>
      </c>
      <c r="H76" s="144" t="s">
        <v>111</v>
      </c>
      <c r="I76" s="144" t="s">
        <v>111</v>
      </c>
      <c r="J76" s="144" t="s">
        <v>111</v>
      </c>
      <c r="K76" s="144" t="s">
        <v>111</v>
      </c>
      <c r="L76" s="144" t="s">
        <v>111</v>
      </c>
      <c r="M76" s="144" t="s">
        <v>111</v>
      </c>
      <c r="N76" s="394"/>
      <c r="O76" s="395"/>
      <c r="P76" s="395"/>
      <c r="Q76" s="395"/>
      <c r="R76" s="395"/>
      <c r="S76" s="395"/>
      <c r="T76" s="395"/>
      <c r="U76" s="395"/>
      <c r="V76" s="395"/>
      <c r="W76" s="395"/>
      <c r="X76" s="395"/>
      <c r="Y76" s="395"/>
      <c r="Z76" s="395"/>
      <c r="AI76" s="273"/>
      <c r="AK76" s="273"/>
      <c r="AW76" s="144"/>
    </row>
    <row r="77" spans="1:50" x14ac:dyDescent="0.3">
      <c r="A77" s="324">
        <v>2032</v>
      </c>
      <c r="B77" s="144" t="s">
        <v>111</v>
      </c>
      <c r="C77" s="144" t="s">
        <v>111</v>
      </c>
      <c r="D77" s="144" t="s">
        <v>111</v>
      </c>
      <c r="E77" s="144" t="s">
        <v>111</v>
      </c>
      <c r="F77" s="144" t="s">
        <v>111</v>
      </c>
      <c r="G77" s="144" t="s">
        <v>111</v>
      </c>
      <c r="H77" s="144" t="s">
        <v>111</v>
      </c>
      <c r="I77" s="144" t="s">
        <v>111</v>
      </c>
      <c r="J77" s="144" t="s">
        <v>111</v>
      </c>
      <c r="K77" s="144" t="s">
        <v>111</v>
      </c>
      <c r="L77" s="144" t="s">
        <v>111</v>
      </c>
      <c r="M77" s="144" t="s">
        <v>111</v>
      </c>
      <c r="N77" s="394"/>
      <c r="O77" s="395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  <c r="AI77" s="273"/>
      <c r="AK77" s="273"/>
      <c r="AW77" s="144"/>
    </row>
    <row r="78" spans="1:50" x14ac:dyDescent="0.3">
      <c r="A78" s="324">
        <v>2033</v>
      </c>
      <c r="B78" s="144" t="s">
        <v>111</v>
      </c>
      <c r="C78" s="144" t="s">
        <v>111</v>
      </c>
      <c r="D78" s="144" t="s">
        <v>111</v>
      </c>
      <c r="E78" s="144" t="s">
        <v>111</v>
      </c>
      <c r="F78" s="144" t="s">
        <v>111</v>
      </c>
      <c r="G78" s="144" t="s">
        <v>111</v>
      </c>
      <c r="H78" s="144" t="s">
        <v>111</v>
      </c>
      <c r="I78" s="144" t="s">
        <v>111</v>
      </c>
      <c r="J78" s="144" t="s">
        <v>111</v>
      </c>
      <c r="K78" s="144" t="s">
        <v>111</v>
      </c>
      <c r="L78" s="144" t="s">
        <v>111</v>
      </c>
      <c r="M78" s="144" t="s">
        <v>111</v>
      </c>
      <c r="N78" s="394"/>
      <c r="O78" s="395"/>
      <c r="P78" s="395"/>
      <c r="Q78" s="395"/>
      <c r="R78" s="395"/>
      <c r="S78" s="395"/>
      <c r="T78" s="395"/>
      <c r="U78" s="395"/>
      <c r="V78" s="395"/>
      <c r="W78" s="395"/>
      <c r="X78" s="395"/>
      <c r="Y78" s="395"/>
      <c r="Z78" s="395"/>
      <c r="AI78" s="273"/>
      <c r="AK78" s="273"/>
      <c r="AW78" s="144"/>
    </row>
    <row r="79" spans="1:50" x14ac:dyDescent="0.3">
      <c r="A79" s="324">
        <v>2034</v>
      </c>
      <c r="B79" s="144" t="s">
        <v>111</v>
      </c>
      <c r="C79" s="144" t="s">
        <v>111</v>
      </c>
      <c r="D79" s="144" t="s">
        <v>111</v>
      </c>
      <c r="E79" s="144" t="s">
        <v>111</v>
      </c>
      <c r="F79" s="144" t="s">
        <v>111</v>
      </c>
      <c r="G79" s="144" t="s">
        <v>111</v>
      </c>
      <c r="H79" s="144" t="s">
        <v>111</v>
      </c>
      <c r="I79" s="144" t="s">
        <v>111</v>
      </c>
      <c r="J79" s="144" t="s">
        <v>111</v>
      </c>
      <c r="K79" s="144" t="s">
        <v>111</v>
      </c>
      <c r="L79" s="144" t="s">
        <v>111</v>
      </c>
      <c r="M79" s="144" t="s">
        <v>111</v>
      </c>
      <c r="N79" s="394"/>
      <c r="O79" s="395"/>
      <c r="P79" s="395"/>
      <c r="Q79" s="395"/>
      <c r="R79" s="395"/>
      <c r="S79" s="395"/>
      <c r="T79" s="395"/>
      <c r="U79" s="395"/>
      <c r="V79" s="395"/>
      <c r="W79" s="395"/>
      <c r="X79" s="395"/>
      <c r="Y79" s="395"/>
      <c r="Z79" s="395"/>
    </row>
    <row r="80" spans="1:50" x14ac:dyDescent="0.3">
      <c r="A80" s="324">
        <v>2035</v>
      </c>
      <c r="B80" s="144" t="s">
        <v>111</v>
      </c>
      <c r="C80" s="144" t="s">
        <v>111</v>
      </c>
      <c r="D80" s="144" t="s">
        <v>111</v>
      </c>
      <c r="E80" s="144" t="s">
        <v>111</v>
      </c>
      <c r="F80" s="144" t="s">
        <v>111</v>
      </c>
      <c r="G80" s="144" t="s">
        <v>111</v>
      </c>
      <c r="H80" s="144" t="s">
        <v>111</v>
      </c>
      <c r="I80" s="144" t="s">
        <v>111</v>
      </c>
      <c r="J80" s="144" t="s">
        <v>111</v>
      </c>
      <c r="K80" s="144" t="s">
        <v>111</v>
      </c>
      <c r="L80" s="144" t="s">
        <v>111</v>
      </c>
      <c r="M80" s="144" t="s">
        <v>111</v>
      </c>
      <c r="N80" s="394"/>
      <c r="O80" s="395"/>
      <c r="P80" s="395"/>
      <c r="Q80" s="395"/>
      <c r="R80" s="395"/>
      <c r="S80" s="395"/>
      <c r="T80" s="395"/>
      <c r="U80" s="395"/>
      <c r="V80" s="395"/>
      <c r="W80" s="395"/>
      <c r="X80" s="395"/>
      <c r="Y80" s="395"/>
      <c r="Z80" s="395"/>
    </row>
    <row r="81" spans="1:26" x14ac:dyDescent="0.3">
      <c r="A81" s="324">
        <v>2036</v>
      </c>
      <c r="B81" s="144" t="s">
        <v>111</v>
      </c>
      <c r="C81" s="144" t="s">
        <v>111</v>
      </c>
      <c r="D81" s="144" t="s">
        <v>111</v>
      </c>
      <c r="E81" s="144" t="s">
        <v>111</v>
      </c>
      <c r="F81" s="144" t="s">
        <v>111</v>
      </c>
      <c r="G81" s="144" t="s">
        <v>111</v>
      </c>
      <c r="H81" s="144" t="s">
        <v>111</v>
      </c>
      <c r="I81" s="144" t="s">
        <v>111</v>
      </c>
      <c r="J81" s="144" t="s">
        <v>111</v>
      </c>
      <c r="K81" s="144" t="s">
        <v>111</v>
      </c>
      <c r="L81" s="144" t="s">
        <v>111</v>
      </c>
      <c r="M81" s="144" t="s">
        <v>111</v>
      </c>
      <c r="N81" s="394"/>
      <c r="O81" s="395"/>
      <c r="P81" s="395"/>
      <c r="Q81" s="395"/>
      <c r="R81" s="395"/>
      <c r="S81" s="395"/>
      <c r="T81" s="395"/>
      <c r="U81" s="395"/>
      <c r="V81" s="395"/>
      <c r="W81" s="395"/>
      <c r="X81" s="395"/>
      <c r="Y81" s="395"/>
      <c r="Z81" s="395"/>
    </row>
    <row r="82" spans="1:26" x14ac:dyDescent="0.3">
      <c r="A82" s="324">
        <v>2037</v>
      </c>
      <c r="B82" s="144" t="s">
        <v>111</v>
      </c>
      <c r="C82" s="144" t="s">
        <v>111</v>
      </c>
      <c r="D82" s="144" t="s">
        <v>111</v>
      </c>
      <c r="E82" s="144" t="s">
        <v>111</v>
      </c>
      <c r="F82" s="144" t="s">
        <v>111</v>
      </c>
      <c r="G82" s="144" t="s">
        <v>111</v>
      </c>
      <c r="H82" s="144" t="s">
        <v>111</v>
      </c>
      <c r="I82" s="144" t="s">
        <v>111</v>
      </c>
      <c r="J82" s="144" t="s">
        <v>111</v>
      </c>
      <c r="K82" s="144" t="s">
        <v>111</v>
      </c>
      <c r="L82" s="144" t="s">
        <v>111</v>
      </c>
      <c r="M82" s="144" t="s">
        <v>111</v>
      </c>
      <c r="N82" s="394"/>
      <c r="O82" s="395"/>
      <c r="P82" s="395"/>
      <c r="Q82" s="395"/>
      <c r="R82" s="395"/>
      <c r="S82" s="395"/>
      <c r="T82" s="395"/>
      <c r="U82" s="395"/>
      <c r="V82" s="395"/>
      <c r="W82" s="395"/>
      <c r="X82" s="395"/>
      <c r="Y82" s="395"/>
      <c r="Z82" s="395"/>
    </row>
    <row r="83" spans="1:26" x14ac:dyDescent="0.3">
      <c r="A83" s="324">
        <v>2038</v>
      </c>
      <c r="B83" s="144" t="s">
        <v>111</v>
      </c>
      <c r="C83" s="144" t="s">
        <v>111</v>
      </c>
      <c r="D83" s="144" t="s">
        <v>111</v>
      </c>
      <c r="E83" s="144" t="s">
        <v>111</v>
      </c>
      <c r="F83" s="144" t="s">
        <v>111</v>
      </c>
      <c r="G83" s="144" t="s">
        <v>111</v>
      </c>
      <c r="H83" s="144" t="s">
        <v>111</v>
      </c>
      <c r="I83" s="144" t="s">
        <v>111</v>
      </c>
      <c r="J83" s="144" t="s">
        <v>111</v>
      </c>
      <c r="K83" s="144" t="s">
        <v>111</v>
      </c>
      <c r="L83" s="144" t="s">
        <v>111</v>
      </c>
      <c r="M83" s="144" t="s">
        <v>111</v>
      </c>
      <c r="N83" s="394"/>
      <c r="O83" s="395"/>
      <c r="P83" s="395"/>
      <c r="Q83" s="395"/>
      <c r="R83" s="395"/>
      <c r="S83" s="395"/>
      <c r="T83" s="395"/>
      <c r="U83" s="395"/>
      <c r="V83" s="395"/>
      <c r="W83" s="395"/>
      <c r="X83" s="395"/>
      <c r="Y83" s="395"/>
      <c r="Z83" s="395"/>
    </row>
    <row r="84" spans="1:26" x14ac:dyDescent="0.3">
      <c r="A84" s="324">
        <v>2039</v>
      </c>
      <c r="B84" s="144" t="s">
        <v>111</v>
      </c>
      <c r="C84" s="144" t="s">
        <v>111</v>
      </c>
      <c r="D84" s="144" t="s">
        <v>111</v>
      </c>
      <c r="E84" s="144" t="s">
        <v>111</v>
      </c>
      <c r="F84" s="144" t="s">
        <v>111</v>
      </c>
      <c r="G84" s="144" t="s">
        <v>111</v>
      </c>
      <c r="H84" s="144" t="s">
        <v>111</v>
      </c>
      <c r="I84" s="144" t="s">
        <v>111</v>
      </c>
      <c r="J84" s="144" t="s">
        <v>111</v>
      </c>
      <c r="K84" s="144" t="s">
        <v>111</v>
      </c>
      <c r="L84" s="144" t="s">
        <v>111</v>
      </c>
      <c r="M84" s="144" t="s">
        <v>111</v>
      </c>
      <c r="N84" s="394"/>
      <c r="O84" s="395"/>
      <c r="P84" s="395"/>
      <c r="Q84" s="395"/>
      <c r="R84" s="395"/>
      <c r="S84" s="395"/>
      <c r="T84" s="395"/>
      <c r="U84" s="395"/>
      <c r="V84" s="395"/>
      <c r="W84" s="395"/>
      <c r="X84" s="395"/>
      <c r="Y84" s="395"/>
      <c r="Z84" s="395"/>
    </row>
    <row r="85" spans="1:26" x14ac:dyDescent="0.3">
      <c r="A85" s="324">
        <v>2040</v>
      </c>
      <c r="B85" s="144" t="s">
        <v>111</v>
      </c>
      <c r="C85" s="144" t="s">
        <v>111</v>
      </c>
      <c r="D85" s="144" t="s">
        <v>111</v>
      </c>
      <c r="E85" s="144" t="s">
        <v>111</v>
      </c>
      <c r="F85" s="144" t="s">
        <v>111</v>
      </c>
      <c r="G85" s="144" t="s">
        <v>111</v>
      </c>
      <c r="H85" s="144" t="s">
        <v>111</v>
      </c>
      <c r="I85" s="144" t="s">
        <v>111</v>
      </c>
      <c r="J85" s="144" t="s">
        <v>111</v>
      </c>
      <c r="K85" s="144" t="s">
        <v>111</v>
      </c>
      <c r="L85" s="144" t="s">
        <v>111</v>
      </c>
      <c r="M85" s="144" t="s">
        <v>111</v>
      </c>
      <c r="N85" s="394"/>
      <c r="O85" s="395"/>
      <c r="P85" s="395"/>
      <c r="Q85" s="395"/>
      <c r="R85" s="395"/>
      <c r="S85" s="395"/>
      <c r="T85" s="395"/>
      <c r="U85" s="395"/>
      <c r="V85" s="395"/>
      <c r="W85" s="395"/>
      <c r="X85" s="395"/>
      <c r="Y85" s="395"/>
      <c r="Z85" s="395"/>
    </row>
    <row r="86" spans="1:26" x14ac:dyDescent="0.3">
      <c r="A86" s="324">
        <v>2041</v>
      </c>
      <c r="B86" s="144" t="s">
        <v>111</v>
      </c>
      <c r="C86" s="144" t="s">
        <v>111</v>
      </c>
      <c r="D86" s="144" t="s">
        <v>111</v>
      </c>
      <c r="E86" s="144" t="s">
        <v>111</v>
      </c>
      <c r="F86" s="144" t="s">
        <v>111</v>
      </c>
      <c r="G86" s="144" t="s">
        <v>111</v>
      </c>
      <c r="H86" s="144" t="s">
        <v>111</v>
      </c>
      <c r="I86" s="144" t="s">
        <v>111</v>
      </c>
      <c r="J86" s="144" t="s">
        <v>111</v>
      </c>
      <c r="K86" s="144" t="s">
        <v>111</v>
      </c>
      <c r="L86" s="144" t="s">
        <v>111</v>
      </c>
      <c r="M86" s="144" t="s">
        <v>111</v>
      </c>
      <c r="N86" s="394"/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</row>
    <row r="87" spans="1:26" x14ac:dyDescent="0.3">
      <c r="A87" s="324">
        <v>2042</v>
      </c>
      <c r="B87" s="144" t="s">
        <v>111</v>
      </c>
      <c r="C87" s="144" t="s">
        <v>111</v>
      </c>
      <c r="D87" s="144" t="s">
        <v>111</v>
      </c>
      <c r="E87" s="144" t="s">
        <v>111</v>
      </c>
      <c r="F87" s="144" t="s">
        <v>111</v>
      </c>
      <c r="G87" s="144" t="s">
        <v>111</v>
      </c>
      <c r="H87" s="144" t="s">
        <v>111</v>
      </c>
      <c r="I87" s="144" t="s">
        <v>111</v>
      </c>
      <c r="J87" s="144" t="s">
        <v>111</v>
      </c>
      <c r="K87" s="144" t="s">
        <v>111</v>
      </c>
      <c r="L87" s="144" t="s">
        <v>111</v>
      </c>
      <c r="M87" s="144" t="s">
        <v>111</v>
      </c>
      <c r="N87" s="394"/>
      <c r="O87" s="395"/>
      <c r="P87" s="395"/>
      <c r="Q87" s="395"/>
      <c r="R87" s="395"/>
      <c r="S87" s="395"/>
      <c r="T87" s="395"/>
      <c r="U87" s="395"/>
      <c r="V87" s="395"/>
      <c r="W87" s="395"/>
      <c r="X87" s="395"/>
      <c r="Y87" s="395"/>
      <c r="Z87" s="395"/>
    </row>
    <row r="88" spans="1:26" x14ac:dyDescent="0.3">
      <c r="A88" s="324">
        <v>2043</v>
      </c>
      <c r="B88" s="144" t="s">
        <v>111</v>
      </c>
      <c r="C88" s="144" t="s">
        <v>111</v>
      </c>
      <c r="D88" s="144" t="s">
        <v>111</v>
      </c>
      <c r="E88" s="144" t="s">
        <v>111</v>
      </c>
      <c r="F88" s="144" t="s">
        <v>111</v>
      </c>
      <c r="G88" s="144" t="s">
        <v>111</v>
      </c>
      <c r="H88" s="144" t="s">
        <v>111</v>
      </c>
      <c r="I88" s="144" t="s">
        <v>111</v>
      </c>
      <c r="J88" s="144" t="s">
        <v>111</v>
      </c>
      <c r="K88" s="144" t="s">
        <v>111</v>
      </c>
      <c r="L88" s="144" t="s">
        <v>111</v>
      </c>
      <c r="M88" s="144" t="s">
        <v>111</v>
      </c>
      <c r="N88" s="394"/>
      <c r="O88" s="395"/>
      <c r="P88" s="395"/>
      <c r="Q88" s="395"/>
      <c r="R88" s="395"/>
      <c r="S88" s="395"/>
      <c r="T88" s="395"/>
      <c r="U88" s="395"/>
      <c r="V88" s="395"/>
      <c r="W88" s="395"/>
      <c r="X88" s="395"/>
      <c r="Y88" s="395"/>
      <c r="Z88" s="395"/>
    </row>
    <row r="89" spans="1:26" x14ac:dyDescent="0.3">
      <c r="A89" s="324">
        <v>2044</v>
      </c>
      <c r="B89" s="144" t="s">
        <v>111</v>
      </c>
      <c r="C89" s="144" t="s">
        <v>111</v>
      </c>
      <c r="D89" s="144" t="s">
        <v>111</v>
      </c>
      <c r="E89" s="144" t="s">
        <v>111</v>
      </c>
      <c r="F89" s="144" t="s">
        <v>111</v>
      </c>
      <c r="G89" s="144" t="s">
        <v>111</v>
      </c>
      <c r="H89" s="144" t="s">
        <v>111</v>
      </c>
      <c r="I89" s="144" t="s">
        <v>111</v>
      </c>
      <c r="J89" s="144" t="s">
        <v>111</v>
      </c>
      <c r="K89" s="144" t="s">
        <v>111</v>
      </c>
      <c r="L89" s="144" t="s">
        <v>111</v>
      </c>
      <c r="M89" s="144" t="s">
        <v>111</v>
      </c>
      <c r="N89" s="323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</row>
    <row r="90" spans="1:26" x14ac:dyDescent="0.3">
      <c r="A90" s="324">
        <v>2045</v>
      </c>
      <c r="B90" s="144" t="s">
        <v>111</v>
      </c>
      <c r="C90" s="144" t="s">
        <v>111</v>
      </c>
      <c r="D90" s="144" t="s">
        <v>111</v>
      </c>
      <c r="E90" s="144" t="s">
        <v>111</v>
      </c>
      <c r="F90" s="144" t="s">
        <v>111</v>
      </c>
      <c r="G90" s="144" t="s">
        <v>111</v>
      </c>
      <c r="H90" s="144" t="s">
        <v>111</v>
      </c>
      <c r="I90" s="144" t="s">
        <v>111</v>
      </c>
      <c r="J90" s="144" t="s">
        <v>111</v>
      </c>
      <c r="K90" s="144" t="s">
        <v>111</v>
      </c>
      <c r="L90" s="144" t="s">
        <v>111</v>
      </c>
      <c r="M90" s="144" t="s">
        <v>111</v>
      </c>
      <c r="N90" s="323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</row>
    <row r="91" spans="1:26" x14ac:dyDescent="0.3">
      <c r="A91" s="324">
        <v>2046</v>
      </c>
      <c r="B91" s="144" t="s">
        <v>111</v>
      </c>
      <c r="C91" s="144" t="s">
        <v>111</v>
      </c>
      <c r="D91" s="144" t="s">
        <v>111</v>
      </c>
      <c r="E91" s="144" t="s">
        <v>111</v>
      </c>
      <c r="F91" s="144" t="s">
        <v>111</v>
      </c>
      <c r="G91" s="144" t="s">
        <v>111</v>
      </c>
      <c r="H91" s="144" t="s">
        <v>111</v>
      </c>
      <c r="I91" s="144" t="s">
        <v>111</v>
      </c>
      <c r="J91" s="144" t="s">
        <v>111</v>
      </c>
      <c r="K91" s="144" t="s">
        <v>111</v>
      </c>
      <c r="L91" s="144" t="s">
        <v>111</v>
      </c>
      <c r="M91" s="144" t="s">
        <v>111</v>
      </c>
      <c r="N91" s="323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</row>
    <row r="92" spans="1:26" x14ac:dyDescent="0.3">
      <c r="A92" s="324">
        <v>2047</v>
      </c>
      <c r="B92" s="144" t="s">
        <v>111</v>
      </c>
      <c r="C92" s="144" t="s">
        <v>111</v>
      </c>
      <c r="D92" s="144" t="s">
        <v>111</v>
      </c>
      <c r="E92" s="144" t="s">
        <v>111</v>
      </c>
      <c r="F92" s="144" t="s">
        <v>111</v>
      </c>
      <c r="G92" s="144" t="s">
        <v>111</v>
      </c>
      <c r="H92" s="144" t="s">
        <v>111</v>
      </c>
      <c r="I92" s="144" t="s">
        <v>111</v>
      </c>
      <c r="J92" s="144" t="s">
        <v>111</v>
      </c>
      <c r="K92" s="144" t="s">
        <v>111</v>
      </c>
      <c r="L92" s="144" t="s">
        <v>111</v>
      </c>
      <c r="M92" s="144" t="s">
        <v>111</v>
      </c>
      <c r="N92" s="323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</row>
    <row r="93" spans="1:26" x14ac:dyDescent="0.3">
      <c r="A93" s="324">
        <v>2048</v>
      </c>
      <c r="B93" s="144" t="s">
        <v>111</v>
      </c>
      <c r="C93" s="144" t="s">
        <v>111</v>
      </c>
      <c r="D93" s="144" t="s">
        <v>111</v>
      </c>
      <c r="E93" s="144" t="s">
        <v>111</v>
      </c>
      <c r="F93" s="144" t="s">
        <v>111</v>
      </c>
      <c r="G93" s="144" t="s">
        <v>111</v>
      </c>
      <c r="H93" s="144" t="s">
        <v>111</v>
      </c>
      <c r="I93" s="144" t="s">
        <v>111</v>
      </c>
      <c r="J93" s="144" t="s">
        <v>111</v>
      </c>
      <c r="K93" s="144" t="s">
        <v>111</v>
      </c>
      <c r="L93" s="144" t="s">
        <v>111</v>
      </c>
      <c r="M93" s="144" t="s">
        <v>111</v>
      </c>
      <c r="N93" s="323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</row>
    <row r="94" spans="1:26" x14ac:dyDescent="0.3">
      <c r="A94" s="324">
        <v>2049</v>
      </c>
      <c r="B94" s="144" t="s">
        <v>111</v>
      </c>
      <c r="C94" s="144" t="s">
        <v>111</v>
      </c>
      <c r="D94" s="144" t="s">
        <v>111</v>
      </c>
      <c r="E94" s="144" t="s">
        <v>111</v>
      </c>
      <c r="F94" s="144" t="s">
        <v>111</v>
      </c>
      <c r="G94" s="144" t="s">
        <v>111</v>
      </c>
      <c r="H94" s="144" t="s">
        <v>111</v>
      </c>
      <c r="I94" s="144" t="s">
        <v>111</v>
      </c>
      <c r="J94" s="144" t="s">
        <v>111</v>
      </c>
      <c r="K94" s="144" t="s">
        <v>111</v>
      </c>
      <c r="L94" s="144" t="s">
        <v>111</v>
      </c>
      <c r="M94" s="144" t="s">
        <v>111</v>
      </c>
      <c r="N94" s="323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</row>
    <row r="95" spans="1:26" x14ac:dyDescent="0.3">
      <c r="A95" s="324">
        <v>2050</v>
      </c>
      <c r="B95" s="144" t="s">
        <v>111</v>
      </c>
      <c r="C95" s="144" t="s">
        <v>111</v>
      </c>
      <c r="D95" s="144" t="s">
        <v>111</v>
      </c>
      <c r="E95" s="144" t="s">
        <v>111</v>
      </c>
      <c r="F95" s="144" t="s">
        <v>111</v>
      </c>
      <c r="G95" s="144" t="s">
        <v>111</v>
      </c>
      <c r="H95" s="144" t="s">
        <v>111</v>
      </c>
      <c r="I95" s="144" t="s">
        <v>111</v>
      </c>
      <c r="J95" s="144" t="s">
        <v>111</v>
      </c>
      <c r="K95" s="144" t="s">
        <v>111</v>
      </c>
      <c r="L95" s="144" t="s">
        <v>111</v>
      </c>
      <c r="M95" s="144" t="s">
        <v>111</v>
      </c>
      <c r="N95" s="323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</row>
  </sheetData>
  <mergeCells count="6">
    <mergeCell ref="AX1:AZ1"/>
    <mergeCell ref="AA1:AF1"/>
    <mergeCell ref="N1:Z1"/>
    <mergeCell ref="A1:M1"/>
    <mergeCell ref="AI1:AW1"/>
    <mergeCell ref="AG1:AH1"/>
  </mergeCells>
  <phoneticPr fontId="10" type="noConversion"/>
  <hyperlinks>
    <hyperlink ref="F2" r:id="rId1" xr:uid="{53599EC1-67BE-46C6-8767-8AE852E71E17}"/>
    <hyperlink ref="O2" r:id="rId2" xr:uid="{84C2342B-8ED3-4057-AFFD-F92FED9B3B09}"/>
    <hyperlink ref="AC2" r:id="rId3" location="TopOfPage" display="https://www.fao.org/4/x0490e/x0490e0b.htm#TopOfPage" xr:uid="{D2BCDFDC-6385-4F67-9FDB-23954997D7A6}"/>
    <hyperlink ref="AE2" r:id="rId4" location="TopOfPage " display="https://www.fao.org/4/x0490e/x0490e0e.htm#TopOfPage " xr:uid="{77934C58-6763-4CF4-BBC3-7739CF991902}"/>
    <hyperlink ref="AF2" r:id="rId5" location="TopOfPage " display="https://www.fao.org/4/x0490e/x0490e0e.htm#TopOfPage " xr:uid="{9F934214-216E-4874-9643-7637F69ACC51}"/>
    <hyperlink ref="AD2" r:id="rId6" display="https://www.fao.org/4/i2800e/i2800e.pdf" xr:uid="{71BB8D14-EB68-4133-AD65-06BBCCB087EA}"/>
    <hyperlink ref="AH2" r:id="rId7" xr:uid="{D596D083-A945-4537-AD38-79CAECD8AA54}"/>
  </hyperlinks>
  <pageMargins left="0.7" right="0.7" top="0.75" bottom="0.75" header="0.3" footer="0.3"/>
  <pageSetup paperSize="9" orientation="portrait" r:id="rId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FB99-45C1-4244-B222-FF6BE34854B4}">
  <dimension ref="A1:AR20"/>
  <sheetViews>
    <sheetView zoomScale="55" zoomScaleNormal="55" workbookViewId="0">
      <selection activeCell="A41" sqref="A41"/>
    </sheetView>
  </sheetViews>
  <sheetFormatPr baseColWidth="10" defaultColWidth="11.5546875" defaultRowHeight="13.8" x14ac:dyDescent="0.3"/>
  <cols>
    <col min="1" max="1" width="16.5546875" style="140" customWidth="1"/>
    <col min="2" max="2" width="15.88671875" style="1" customWidth="1"/>
    <col min="3" max="3" width="11.5546875" style="117"/>
    <col min="4" max="4" width="16.5546875" style="1" customWidth="1"/>
    <col min="5" max="5" width="16.33203125" style="1" customWidth="1"/>
    <col min="6" max="6" width="11.5546875" style="1"/>
    <col min="7" max="7" width="17.44140625" style="174" customWidth="1"/>
    <col min="8" max="8" width="17.44140625" style="140" customWidth="1"/>
    <col min="9" max="9" width="16.5546875" style="140" customWidth="1"/>
    <col min="10" max="10" width="11.5546875" style="1"/>
    <col min="11" max="11" width="15.88671875" style="117" customWidth="1"/>
    <col min="12" max="12" width="16.5546875" style="140" customWidth="1"/>
    <col min="13" max="13" width="11.5546875" style="1"/>
    <col min="14" max="14" width="11.5546875" style="117"/>
    <col min="15" max="15" width="16.5546875" style="1" customWidth="1"/>
    <col min="16" max="17" width="11.5546875" style="1"/>
    <col min="18" max="18" width="16.6640625" style="1" customWidth="1"/>
    <col min="19" max="19" width="11.5546875" style="140"/>
    <col min="20" max="22" width="11.5546875" style="1"/>
    <col min="23" max="23" width="14.33203125" style="1" customWidth="1"/>
    <col min="24" max="26" width="11.5546875" style="1"/>
    <col min="27" max="27" width="11.5546875" style="117"/>
    <col min="28" max="28" width="11.5546875" style="140"/>
    <col min="29" max="30" width="11.5546875" style="1"/>
    <col min="31" max="31" width="13.33203125" style="377" customWidth="1"/>
    <col min="32" max="32" width="11.5546875" style="140"/>
    <col min="33" max="33" width="16.33203125" style="377" customWidth="1"/>
    <col min="34" max="41" width="11.5546875" style="377"/>
    <col min="42" max="42" width="11.5546875" style="117"/>
    <col min="43" max="16384" width="11.5546875" style="1"/>
  </cols>
  <sheetData>
    <row r="1" spans="1:44" s="368" customFormat="1" ht="28.2" customHeight="1" x14ac:dyDescent="0.3">
      <c r="A1" s="430" t="s">
        <v>599</v>
      </c>
      <c r="B1" s="431"/>
      <c r="C1" s="432"/>
      <c r="D1" s="430" t="s">
        <v>598</v>
      </c>
      <c r="E1" s="431"/>
      <c r="F1" s="432"/>
      <c r="G1" s="179" t="s">
        <v>597</v>
      </c>
      <c r="H1" s="121" t="s">
        <v>596</v>
      </c>
      <c r="I1" s="430" t="s">
        <v>595</v>
      </c>
      <c r="J1" s="431"/>
      <c r="K1" s="432"/>
      <c r="L1" s="430" t="s">
        <v>594</v>
      </c>
      <c r="M1" s="431"/>
      <c r="N1" s="432"/>
      <c r="O1" s="439" t="s">
        <v>593</v>
      </c>
      <c r="P1" s="440"/>
      <c r="Q1" s="440"/>
      <c r="R1" s="467"/>
      <c r="S1" s="430" t="s">
        <v>592</v>
      </c>
      <c r="T1" s="431"/>
      <c r="U1" s="431"/>
      <c r="V1" s="431"/>
      <c r="W1" s="431"/>
      <c r="X1" s="431"/>
      <c r="Y1" s="431"/>
      <c r="Z1" s="431"/>
      <c r="AA1" s="432"/>
      <c r="AB1" s="430" t="s">
        <v>591</v>
      </c>
      <c r="AC1" s="431"/>
      <c r="AD1" s="431"/>
      <c r="AE1" s="432"/>
      <c r="AF1" s="468" t="s">
        <v>590</v>
      </c>
      <c r="AG1" s="469"/>
      <c r="AH1" s="469"/>
      <c r="AI1" s="469"/>
      <c r="AJ1" s="469"/>
      <c r="AK1" s="469"/>
      <c r="AL1" s="469"/>
      <c r="AM1" s="469"/>
      <c r="AN1" s="469"/>
      <c r="AO1" s="469"/>
      <c r="AP1" s="470"/>
    </row>
    <row r="2" spans="1:44" s="368" customFormat="1" ht="31.2" x14ac:dyDescent="0.25">
      <c r="A2" s="373" t="s">
        <v>84</v>
      </c>
      <c r="B2" s="253" t="s">
        <v>85</v>
      </c>
      <c r="C2" s="252" t="s">
        <v>86</v>
      </c>
      <c r="D2" s="372" t="s">
        <v>87</v>
      </c>
      <c r="E2" s="110" t="s">
        <v>88</v>
      </c>
      <c r="G2" s="371"/>
      <c r="H2" s="370"/>
      <c r="I2" s="370"/>
      <c r="K2" s="369"/>
      <c r="L2" s="370"/>
      <c r="N2" s="369"/>
      <c r="S2" s="370"/>
      <c r="T2" s="1"/>
      <c r="U2" s="1"/>
      <c r="V2" s="1"/>
      <c r="W2" s="1"/>
      <c r="X2" s="1"/>
      <c r="Y2" s="1"/>
      <c r="Z2" s="1"/>
      <c r="AA2" s="117"/>
      <c r="AB2" s="370"/>
      <c r="AE2" s="374"/>
      <c r="AF2" s="12"/>
      <c r="AG2" s="11"/>
      <c r="AH2" s="11"/>
      <c r="AI2" s="11"/>
      <c r="AJ2" s="11"/>
      <c r="AK2" s="11"/>
      <c r="AL2" s="11"/>
      <c r="AM2" s="11"/>
      <c r="AN2" s="11"/>
      <c r="AO2" s="11"/>
      <c r="AP2" s="147"/>
    </row>
    <row r="3" spans="1:44" s="247" customFormat="1" ht="41.4" x14ac:dyDescent="0.3">
      <c r="A3" s="24" t="s">
        <v>589</v>
      </c>
      <c r="B3" s="130" t="s">
        <v>582</v>
      </c>
      <c r="C3" s="49" t="s">
        <v>579</v>
      </c>
      <c r="D3" s="130" t="s">
        <v>588</v>
      </c>
      <c r="E3" s="130" t="s">
        <v>582</v>
      </c>
      <c r="F3" s="130" t="s">
        <v>583</v>
      </c>
      <c r="G3" s="31" t="s">
        <v>587</v>
      </c>
      <c r="H3" s="24" t="s">
        <v>586</v>
      </c>
      <c r="I3" s="24" t="s">
        <v>582</v>
      </c>
      <c r="J3" s="130" t="s">
        <v>584</v>
      </c>
      <c r="K3" s="49" t="s">
        <v>585</v>
      </c>
      <c r="L3" s="24" t="s">
        <v>582</v>
      </c>
      <c r="M3" s="130" t="s">
        <v>584</v>
      </c>
      <c r="N3" s="49" t="s">
        <v>583</v>
      </c>
      <c r="O3" s="130" t="s">
        <v>582</v>
      </c>
      <c r="P3" s="130" t="s">
        <v>581</v>
      </c>
      <c r="Q3" s="130" t="s">
        <v>579</v>
      </c>
      <c r="R3" s="130" t="s">
        <v>580</v>
      </c>
      <c r="S3" s="140"/>
      <c r="T3" s="1"/>
      <c r="U3" s="1"/>
      <c r="V3" s="1"/>
      <c r="W3" s="1"/>
      <c r="X3" s="1"/>
      <c r="Y3" s="1"/>
      <c r="Z3" s="1"/>
      <c r="AA3" s="117"/>
      <c r="AB3" s="140"/>
      <c r="AC3" s="1"/>
      <c r="AD3" s="1"/>
      <c r="AE3" s="377"/>
      <c r="AF3" s="375"/>
      <c r="AG3" s="378"/>
      <c r="AH3" s="378"/>
      <c r="AI3" s="378"/>
      <c r="AJ3" s="378"/>
      <c r="AK3" s="378"/>
      <c r="AL3" s="378"/>
      <c r="AM3" s="378"/>
      <c r="AN3" s="378"/>
      <c r="AO3" s="378"/>
      <c r="AP3" s="376"/>
    </row>
    <row r="4" spans="1:44" ht="69" x14ac:dyDescent="0.3">
      <c r="A4" s="26" t="s">
        <v>578</v>
      </c>
      <c r="B4" s="365" t="s">
        <v>562</v>
      </c>
      <c r="C4" s="27" t="s">
        <v>579</v>
      </c>
      <c r="D4" s="127" t="s">
        <v>578</v>
      </c>
      <c r="E4" s="365" t="s">
        <v>562</v>
      </c>
      <c r="F4" s="127" t="s">
        <v>577</v>
      </c>
      <c r="G4" s="32" t="s">
        <v>338</v>
      </c>
      <c r="H4" s="26" t="s">
        <v>576</v>
      </c>
      <c r="I4" s="366" t="s">
        <v>562</v>
      </c>
      <c r="J4" s="365" t="s">
        <v>225</v>
      </c>
      <c r="K4" s="367" t="s">
        <v>224</v>
      </c>
      <c r="L4" s="366" t="s">
        <v>562</v>
      </c>
      <c r="M4" s="127" t="s">
        <v>576</v>
      </c>
      <c r="N4" s="27" t="s">
        <v>575</v>
      </c>
      <c r="O4" s="365" t="s">
        <v>562</v>
      </c>
      <c r="P4" s="130" t="s">
        <v>574</v>
      </c>
      <c r="Q4" s="127" t="s">
        <v>338</v>
      </c>
      <c r="R4" s="127" t="s">
        <v>573</v>
      </c>
      <c r="S4" s="24" t="s">
        <v>499</v>
      </c>
      <c r="T4" s="130" t="s">
        <v>570</v>
      </c>
      <c r="U4" s="130" t="s">
        <v>498</v>
      </c>
      <c r="V4" s="263" t="s">
        <v>497</v>
      </c>
      <c r="W4" s="263" t="s">
        <v>572</v>
      </c>
      <c r="X4" s="263" t="s">
        <v>495</v>
      </c>
      <c r="Y4" s="263" t="s">
        <v>571</v>
      </c>
      <c r="Z4" s="130" t="s">
        <v>491</v>
      </c>
      <c r="AA4" s="49" t="s">
        <v>490</v>
      </c>
      <c r="AB4" s="24" t="s">
        <v>498</v>
      </c>
      <c r="AC4" s="130" t="s">
        <v>570</v>
      </c>
      <c r="AD4" s="130" t="s">
        <v>569</v>
      </c>
      <c r="AE4" s="13" t="s">
        <v>568</v>
      </c>
      <c r="AF4" s="24" t="s">
        <v>273</v>
      </c>
      <c r="AG4" s="18" t="s">
        <v>433</v>
      </c>
      <c r="AH4" s="13" t="s">
        <v>432</v>
      </c>
      <c r="AI4" s="379" t="s">
        <v>471</v>
      </c>
      <c r="AJ4" s="379" t="s">
        <v>470</v>
      </c>
      <c r="AK4" s="379" t="s">
        <v>468</v>
      </c>
      <c r="AL4" s="379" t="s">
        <v>467</v>
      </c>
      <c r="AM4" s="379" t="s">
        <v>466</v>
      </c>
      <c r="AN4" s="379" t="s">
        <v>465</v>
      </c>
      <c r="AO4" s="379" t="s">
        <v>567</v>
      </c>
      <c r="AP4" s="262" t="s">
        <v>566</v>
      </c>
      <c r="AQ4" s="387" t="s">
        <v>600</v>
      </c>
    </row>
    <row r="5" spans="1:44" ht="41.4" x14ac:dyDescent="0.3">
      <c r="A5" s="26" t="s">
        <v>565</v>
      </c>
      <c r="B5" s="153" t="s">
        <v>98</v>
      </c>
      <c r="C5" s="361">
        <v>10</v>
      </c>
      <c r="D5" s="127" t="s">
        <v>564</v>
      </c>
      <c r="E5" s="153" t="s">
        <v>98</v>
      </c>
      <c r="F5" s="51">
        <v>0.12</v>
      </c>
      <c r="G5" s="349">
        <v>1</v>
      </c>
      <c r="H5" s="57" t="s">
        <v>186</v>
      </c>
      <c r="I5" s="153" t="s">
        <v>98</v>
      </c>
      <c r="J5" s="153" t="s">
        <v>152</v>
      </c>
      <c r="K5" s="347" t="s">
        <v>165</v>
      </c>
      <c r="L5" s="153" t="s">
        <v>98</v>
      </c>
      <c r="M5" s="145" t="s">
        <v>186</v>
      </c>
      <c r="N5" s="144">
        <v>5366.67</v>
      </c>
      <c r="O5" s="153" t="s">
        <v>98</v>
      </c>
      <c r="P5" s="145" t="s">
        <v>222</v>
      </c>
      <c r="Q5" s="145">
        <v>1</v>
      </c>
      <c r="R5" s="145">
        <v>0.1</v>
      </c>
      <c r="S5" s="364" t="s">
        <v>273</v>
      </c>
      <c r="T5" s="363" t="s">
        <v>562</v>
      </c>
      <c r="U5" s="363" t="s">
        <v>305</v>
      </c>
      <c r="V5" s="363" t="s">
        <v>432</v>
      </c>
      <c r="W5" s="363" t="s">
        <v>479</v>
      </c>
      <c r="X5" s="363" t="s">
        <v>478</v>
      </c>
      <c r="Y5" s="363" t="s">
        <v>563</v>
      </c>
      <c r="Z5" s="363" t="s">
        <v>474</v>
      </c>
      <c r="AA5" s="262" t="s">
        <v>473</v>
      </c>
      <c r="AB5" s="26" t="s">
        <v>305</v>
      </c>
      <c r="AC5" s="127" t="s">
        <v>562</v>
      </c>
      <c r="AD5" s="127" t="s">
        <v>561</v>
      </c>
      <c r="AE5" s="18" t="s">
        <v>476</v>
      </c>
      <c r="AF5" s="380" t="s">
        <v>11</v>
      </c>
      <c r="AG5" s="381" t="s">
        <v>98</v>
      </c>
      <c r="AH5" s="382" t="s">
        <v>221</v>
      </c>
      <c r="AI5" s="383">
        <v>63</v>
      </c>
      <c r="AJ5" s="383">
        <v>49</v>
      </c>
      <c r="AK5" s="383">
        <v>35</v>
      </c>
      <c r="AL5" s="383">
        <v>0</v>
      </c>
      <c r="AM5" s="383">
        <v>11.2</v>
      </c>
      <c r="AN5" s="383">
        <v>70</v>
      </c>
      <c r="AO5" s="383" t="s">
        <v>111</v>
      </c>
      <c r="AP5" s="384" t="s">
        <v>111</v>
      </c>
      <c r="AQ5" s="357">
        <v>0.1</v>
      </c>
    </row>
    <row r="6" spans="1:44" ht="14.4" x14ac:dyDescent="0.3">
      <c r="A6" s="26" t="s">
        <v>560</v>
      </c>
      <c r="B6" s="153" t="s">
        <v>98</v>
      </c>
      <c r="C6" s="361">
        <v>7</v>
      </c>
      <c r="D6" s="127" t="s">
        <v>559</v>
      </c>
      <c r="E6" s="153" t="s">
        <v>98</v>
      </c>
      <c r="F6" s="51">
        <v>46.9</v>
      </c>
      <c r="G6" s="349">
        <v>2</v>
      </c>
      <c r="H6" s="57" t="s">
        <v>215</v>
      </c>
      <c r="I6" s="153" t="s">
        <v>98</v>
      </c>
      <c r="J6" s="153" t="s">
        <v>160</v>
      </c>
      <c r="K6" s="347" t="s">
        <v>163</v>
      </c>
      <c r="L6" s="153" t="s">
        <v>98</v>
      </c>
      <c r="M6" s="145" t="s">
        <v>215</v>
      </c>
      <c r="N6" s="144">
        <v>5345.71</v>
      </c>
      <c r="O6" s="153" t="s">
        <v>98</v>
      </c>
      <c r="P6" s="145" t="s">
        <v>222</v>
      </c>
      <c r="Q6" s="145">
        <v>2</v>
      </c>
      <c r="R6" s="145">
        <v>0.1</v>
      </c>
      <c r="S6" s="359" t="s">
        <v>11</v>
      </c>
      <c r="T6" s="153" t="s">
        <v>98</v>
      </c>
      <c r="U6" s="360" t="s">
        <v>222</v>
      </c>
      <c r="V6" s="359" t="s">
        <v>221</v>
      </c>
      <c r="W6" s="353" t="s">
        <v>111</v>
      </c>
      <c r="X6" s="353">
        <v>180</v>
      </c>
      <c r="Y6" s="353">
        <v>45000</v>
      </c>
      <c r="Z6" s="144">
        <v>1190.48</v>
      </c>
      <c r="AA6" s="362">
        <v>0.71499999999999997</v>
      </c>
      <c r="AB6" s="357" t="s">
        <v>222</v>
      </c>
      <c r="AC6" s="153" t="s">
        <v>98</v>
      </c>
      <c r="AD6" s="1" t="s">
        <v>558</v>
      </c>
      <c r="AE6" s="144">
        <v>94354.55</v>
      </c>
      <c r="AF6" s="380" t="s">
        <v>12</v>
      </c>
      <c r="AG6" s="381" t="s">
        <v>98</v>
      </c>
      <c r="AH6" s="382" t="s">
        <v>221</v>
      </c>
      <c r="AI6" s="383">
        <v>2.25</v>
      </c>
      <c r="AJ6" s="383">
        <v>1.75</v>
      </c>
      <c r="AK6" s="383">
        <v>1.25</v>
      </c>
      <c r="AL6" s="383">
        <v>0.25</v>
      </c>
      <c r="AM6" s="383">
        <v>0.4</v>
      </c>
      <c r="AN6" s="383">
        <v>2.5</v>
      </c>
      <c r="AO6" s="383" t="s">
        <v>111</v>
      </c>
      <c r="AP6" s="384" t="s">
        <v>111</v>
      </c>
    </row>
    <row r="7" spans="1:44" ht="14.4" x14ac:dyDescent="0.3">
      <c r="A7" s="26" t="s">
        <v>557</v>
      </c>
      <c r="B7" s="153" t="s">
        <v>98</v>
      </c>
      <c r="C7" s="361">
        <v>4</v>
      </c>
      <c r="G7" s="349">
        <v>3</v>
      </c>
      <c r="H7" s="57" t="s">
        <v>207</v>
      </c>
      <c r="I7" s="153" t="s">
        <v>98</v>
      </c>
      <c r="J7" s="153" t="s">
        <v>159</v>
      </c>
      <c r="K7" s="347" t="s">
        <v>157</v>
      </c>
      <c r="L7" s="153" t="s">
        <v>98</v>
      </c>
      <c r="M7" s="145" t="s">
        <v>207</v>
      </c>
      <c r="N7" s="144">
        <v>3878.33</v>
      </c>
      <c r="O7" s="153" t="s">
        <v>98</v>
      </c>
      <c r="P7" s="145" t="s">
        <v>222</v>
      </c>
      <c r="Q7" s="145">
        <v>3</v>
      </c>
      <c r="R7" s="145">
        <v>0.1</v>
      </c>
      <c r="S7" s="359" t="s">
        <v>12</v>
      </c>
      <c r="T7" s="153" t="s">
        <v>98</v>
      </c>
      <c r="U7" s="360" t="s">
        <v>222</v>
      </c>
      <c r="V7" s="359" t="s">
        <v>221</v>
      </c>
      <c r="W7" s="353" t="s">
        <v>111</v>
      </c>
      <c r="X7" s="353">
        <v>150</v>
      </c>
      <c r="Y7" s="353">
        <v>40000</v>
      </c>
      <c r="Z7" s="144">
        <v>1190.48</v>
      </c>
      <c r="AA7" s="358">
        <v>0.06</v>
      </c>
      <c r="AB7" s="357" t="s">
        <v>213</v>
      </c>
      <c r="AC7" s="153" t="s">
        <v>98</v>
      </c>
      <c r="AD7" s="1" t="s">
        <v>556</v>
      </c>
      <c r="AE7" s="144">
        <v>94354.55</v>
      </c>
      <c r="AF7" s="385"/>
      <c r="AG7" s="11"/>
      <c r="AH7" s="386"/>
      <c r="AI7" s="383"/>
      <c r="AJ7" s="383"/>
      <c r="AK7" s="383"/>
      <c r="AL7" s="383"/>
      <c r="AM7" s="383"/>
      <c r="AN7" s="383"/>
      <c r="AO7" s="383"/>
      <c r="AP7" s="384"/>
    </row>
    <row r="8" spans="1:44" ht="14.4" x14ac:dyDescent="0.3">
      <c r="A8" s="25"/>
      <c r="G8" s="349">
        <v>4</v>
      </c>
      <c r="H8" s="57" t="s">
        <v>555</v>
      </c>
      <c r="I8" s="153" t="s">
        <v>98</v>
      </c>
      <c r="J8" s="153" t="s">
        <v>158</v>
      </c>
      <c r="K8" s="347" t="s">
        <v>157</v>
      </c>
      <c r="L8" s="153" t="s">
        <v>98</v>
      </c>
      <c r="M8" s="145" t="s">
        <v>188</v>
      </c>
      <c r="N8" s="144">
        <v>1190.48</v>
      </c>
      <c r="O8" s="153" t="s">
        <v>98</v>
      </c>
      <c r="P8" s="145" t="s">
        <v>222</v>
      </c>
      <c r="Q8" s="145">
        <v>4</v>
      </c>
      <c r="R8" s="145">
        <v>0.1</v>
      </c>
      <c r="S8" s="354"/>
      <c r="T8" s="145"/>
      <c r="U8" s="145"/>
      <c r="V8" s="354"/>
      <c r="W8" s="353"/>
      <c r="X8" s="353"/>
      <c r="Y8" s="353"/>
      <c r="Z8" s="353"/>
      <c r="AA8" s="353"/>
      <c r="AB8" s="357" t="s">
        <v>204</v>
      </c>
      <c r="AC8" s="153" t="s">
        <v>98</v>
      </c>
      <c r="AD8" s="1" t="s">
        <v>554</v>
      </c>
      <c r="AE8" s="144">
        <v>94354.55</v>
      </c>
      <c r="AF8" s="385"/>
      <c r="AG8" s="11"/>
      <c r="AH8" s="386"/>
      <c r="AI8" s="383"/>
      <c r="AJ8" s="383"/>
      <c r="AK8" s="383"/>
      <c r="AL8" s="383"/>
      <c r="AM8" s="383"/>
      <c r="AN8" s="383"/>
      <c r="AO8" s="383"/>
      <c r="AP8" s="384"/>
    </row>
    <row r="9" spans="1:44" ht="15.6" x14ac:dyDescent="0.3">
      <c r="A9" s="25"/>
      <c r="G9" s="349">
        <v>5</v>
      </c>
      <c r="H9" s="57" t="s">
        <v>553</v>
      </c>
      <c r="I9" s="153" t="s">
        <v>98</v>
      </c>
      <c r="J9" s="153" t="s">
        <v>155</v>
      </c>
      <c r="K9" s="347" t="s">
        <v>157</v>
      </c>
      <c r="L9" s="153" t="s">
        <v>98</v>
      </c>
      <c r="M9" s="356" t="s">
        <v>194</v>
      </c>
      <c r="N9" s="144">
        <v>919.05</v>
      </c>
      <c r="O9" s="153" t="s">
        <v>98</v>
      </c>
      <c r="P9" s="145" t="s">
        <v>222</v>
      </c>
      <c r="Q9" s="145">
        <v>5</v>
      </c>
      <c r="R9" s="145">
        <v>0.1</v>
      </c>
      <c r="S9" s="354"/>
      <c r="T9" s="145"/>
      <c r="U9" s="145"/>
      <c r="V9" s="354"/>
      <c r="W9" s="353"/>
      <c r="X9" s="353"/>
      <c r="Y9" s="353"/>
      <c r="Z9" s="353"/>
      <c r="AA9" s="353"/>
      <c r="AE9" s="15"/>
      <c r="AF9" s="388"/>
      <c r="AG9" s="16"/>
      <c r="AH9" s="389"/>
      <c r="AI9" s="390"/>
      <c r="AJ9" s="390"/>
      <c r="AK9" s="390"/>
      <c r="AL9" s="390"/>
      <c r="AM9" s="390"/>
      <c r="AN9" s="390"/>
      <c r="AO9" s="390"/>
      <c r="AP9" s="391"/>
      <c r="AQ9" s="56"/>
      <c r="AR9" s="56"/>
    </row>
    <row r="10" spans="1:44" ht="14.4" x14ac:dyDescent="0.3">
      <c r="A10" s="25"/>
      <c r="G10" s="349"/>
      <c r="H10" s="57" t="s">
        <v>188</v>
      </c>
      <c r="I10" s="153" t="s">
        <v>98</v>
      </c>
      <c r="J10" s="153" t="s">
        <v>158</v>
      </c>
      <c r="K10" s="347" t="s">
        <v>156</v>
      </c>
      <c r="L10" s="153" t="s">
        <v>98</v>
      </c>
      <c r="M10" s="162" t="s">
        <v>190</v>
      </c>
      <c r="N10" s="144">
        <v>396.19</v>
      </c>
      <c r="O10" s="153" t="s">
        <v>98</v>
      </c>
      <c r="P10" s="145" t="s">
        <v>222</v>
      </c>
      <c r="Q10" s="145">
        <v>6</v>
      </c>
      <c r="R10" s="145">
        <v>0.1</v>
      </c>
      <c r="S10" s="354"/>
      <c r="T10" s="145"/>
      <c r="U10" s="145"/>
      <c r="V10" s="354"/>
      <c r="W10" s="353"/>
      <c r="X10" s="353"/>
      <c r="Y10" s="353"/>
      <c r="Z10" s="353"/>
      <c r="AA10" s="353"/>
      <c r="AC10" s="247"/>
      <c r="AE10" s="15"/>
      <c r="AF10" s="388"/>
      <c r="AG10" s="16"/>
      <c r="AH10" s="389"/>
      <c r="AI10" s="390"/>
      <c r="AJ10" s="390"/>
      <c r="AK10" s="390"/>
      <c r="AL10" s="390"/>
      <c r="AM10" s="390"/>
      <c r="AN10" s="390"/>
      <c r="AO10" s="390"/>
      <c r="AP10" s="391"/>
      <c r="AQ10" s="56"/>
      <c r="AR10" s="56"/>
    </row>
    <row r="11" spans="1:44" ht="15.6" x14ac:dyDescent="0.25">
      <c r="A11" s="25"/>
      <c r="G11" s="349"/>
      <c r="H11" s="58" t="s">
        <v>194</v>
      </c>
      <c r="I11" s="153" t="s">
        <v>98</v>
      </c>
      <c r="J11" s="153" t="s">
        <v>155</v>
      </c>
      <c r="K11" s="347" t="s">
        <v>153</v>
      </c>
      <c r="L11" s="351"/>
      <c r="M11" s="355"/>
      <c r="N11" s="145"/>
      <c r="O11" s="153" t="s">
        <v>98</v>
      </c>
      <c r="P11" s="145" t="s">
        <v>222</v>
      </c>
      <c r="Q11" s="145">
        <v>7</v>
      </c>
      <c r="R11" s="145">
        <v>0.1</v>
      </c>
      <c r="S11" s="354"/>
      <c r="T11" s="145"/>
      <c r="U11" s="145"/>
      <c r="V11" s="354"/>
      <c r="W11" s="353"/>
      <c r="X11" s="353"/>
      <c r="Y11" s="353"/>
      <c r="Z11" s="353"/>
      <c r="AA11" s="352"/>
      <c r="AB11" s="346"/>
      <c r="AC11" s="247"/>
      <c r="AD11" s="123"/>
      <c r="AE11" s="15"/>
      <c r="AF11" s="388"/>
      <c r="AG11" s="16"/>
      <c r="AH11" s="389"/>
      <c r="AI11" s="390"/>
      <c r="AJ11" s="390"/>
      <c r="AK11" s="390"/>
      <c r="AL11" s="390"/>
      <c r="AM11" s="390"/>
      <c r="AN11" s="390"/>
      <c r="AO11" s="390"/>
      <c r="AP11" s="391"/>
      <c r="AQ11" s="56"/>
      <c r="AR11" s="56"/>
    </row>
    <row r="12" spans="1:44" ht="14.4" x14ac:dyDescent="0.25">
      <c r="A12" s="25"/>
      <c r="G12" s="349"/>
      <c r="H12" s="58" t="s">
        <v>190</v>
      </c>
      <c r="I12" s="153" t="s">
        <v>98</v>
      </c>
      <c r="J12" s="153" t="s">
        <v>154</v>
      </c>
      <c r="K12" s="347" t="s">
        <v>151</v>
      </c>
      <c r="L12" s="351"/>
      <c r="M12" s="350"/>
      <c r="N12" s="145"/>
      <c r="O12" s="153" t="s">
        <v>98</v>
      </c>
      <c r="P12" s="145" t="s">
        <v>222</v>
      </c>
      <c r="Q12" s="145">
        <v>8</v>
      </c>
      <c r="R12" s="145">
        <v>0.1</v>
      </c>
      <c r="AB12" s="344"/>
      <c r="AC12" s="247"/>
      <c r="AD12" s="247"/>
      <c r="AE12" s="15"/>
      <c r="AF12" s="388"/>
      <c r="AG12" s="16"/>
      <c r="AH12" s="389"/>
      <c r="AI12" s="390"/>
      <c r="AJ12" s="390"/>
      <c r="AK12" s="390"/>
      <c r="AL12" s="390"/>
      <c r="AM12" s="390"/>
      <c r="AN12" s="390"/>
      <c r="AO12" s="390"/>
      <c r="AP12" s="391"/>
      <c r="AQ12" s="56"/>
      <c r="AR12" s="56"/>
    </row>
    <row r="13" spans="1:44" x14ac:dyDescent="0.25">
      <c r="A13" s="25"/>
      <c r="G13" s="349"/>
      <c r="H13" s="348"/>
      <c r="I13" s="153" t="s">
        <v>98</v>
      </c>
      <c r="J13" s="153" t="s">
        <v>155</v>
      </c>
      <c r="K13" s="347" t="s">
        <v>151</v>
      </c>
      <c r="L13" s="25"/>
      <c r="O13" s="153" t="s">
        <v>98</v>
      </c>
      <c r="P13" s="145" t="s">
        <v>222</v>
      </c>
      <c r="Q13" s="145">
        <v>9</v>
      </c>
      <c r="R13" s="145">
        <v>0.1</v>
      </c>
      <c r="AB13" s="344"/>
      <c r="AC13" s="247"/>
      <c r="AD13" s="247"/>
      <c r="AE13" s="15"/>
      <c r="AF13" s="388"/>
      <c r="AG13" s="16"/>
      <c r="AH13" s="389"/>
      <c r="AI13" s="390"/>
      <c r="AJ13" s="390"/>
      <c r="AK13" s="390"/>
      <c r="AL13" s="390"/>
      <c r="AM13" s="390"/>
      <c r="AN13" s="390"/>
      <c r="AO13" s="390"/>
      <c r="AP13" s="391"/>
      <c r="AQ13" s="56"/>
      <c r="AR13" s="56"/>
    </row>
    <row r="14" spans="1:44" x14ac:dyDescent="0.25">
      <c r="A14" s="25"/>
      <c r="D14" s="57"/>
      <c r="G14" s="349"/>
      <c r="H14" s="348"/>
      <c r="I14" s="153" t="s">
        <v>98</v>
      </c>
      <c r="J14" s="153" t="s">
        <v>154</v>
      </c>
      <c r="K14" s="347" t="s">
        <v>171</v>
      </c>
      <c r="L14" s="25"/>
      <c r="O14" s="153" t="s">
        <v>98</v>
      </c>
      <c r="P14" s="145" t="s">
        <v>222</v>
      </c>
      <c r="Q14" s="145">
        <v>10</v>
      </c>
      <c r="R14" s="145">
        <v>0</v>
      </c>
      <c r="AB14" s="344"/>
      <c r="AC14" s="247"/>
      <c r="AD14" s="247"/>
      <c r="AE14" s="15"/>
      <c r="AF14" s="3"/>
      <c r="AG14" s="15"/>
      <c r="AH14" s="15"/>
      <c r="AI14" s="15"/>
      <c r="AJ14" s="15"/>
      <c r="AK14" s="15"/>
      <c r="AL14" s="15"/>
      <c r="AM14" s="15"/>
      <c r="AN14" s="15"/>
      <c r="AO14" s="15"/>
      <c r="AP14" s="4"/>
      <c r="AQ14" s="56"/>
      <c r="AR14" s="56"/>
    </row>
    <row r="15" spans="1:44" x14ac:dyDescent="0.25">
      <c r="A15" s="25"/>
      <c r="D15" s="57"/>
      <c r="G15" s="349"/>
      <c r="H15" s="348"/>
      <c r="I15" s="153" t="s">
        <v>98</v>
      </c>
      <c r="J15" s="153" t="s">
        <v>155</v>
      </c>
      <c r="K15" s="347" t="s">
        <v>170</v>
      </c>
      <c r="L15" s="25"/>
      <c r="O15" s="57"/>
      <c r="AB15" s="344"/>
      <c r="AC15" s="247"/>
      <c r="AD15" s="247"/>
      <c r="AE15" s="15"/>
      <c r="AF15" s="3"/>
      <c r="AG15" s="15"/>
      <c r="AH15" s="15"/>
      <c r="AI15" s="15"/>
      <c r="AJ15" s="15"/>
      <c r="AK15" s="15"/>
      <c r="AL15" s="15"/>
      <c r="AM15" s="15"/>
      <c r="AN15" s="15"/>
      <c r="AO15" s="15"/>
      <c r="AP15" s="4"/>
      <c r="AQ15" s="56"/>
      <c r="AR15" s="56"/>
    </row>
    <row r="16" spans="1:44" x14ac:dyDescent="0.25">
      <c r="A16" s="25"/>
      <c r="D16" s="57"/>
      <c r="I16" s="153" t="s">
        <v>98</v>
      </c>
      <c r="J16" s="153" t="s">
        <v>152</v>
      </c>
      <c r="K16" s="347" t="s">
        <v>161</v>
      </c>
      <c r="L16" s="25"/>
      <c r="O16" s="57"/>
      <c r="AB16" s="344"/>
      <c r="AC16" s="247"/>
      <c r="AD16" s="247"/>
    </row>
    <row r="17" spans="1:30" x14ac:dyDescent="0.25">
      <c r="A17" s="25"/>
      <c r="D17" s="57"/>
      <c r="I17" s="153" t="s">
        <v>98</v>
      </c>
      <c r="J17" s="153" t="s">
        <v>553</v>
      </c>
      <c r="K17" s="347" t="s">
        <v>165</v>
      </c>
      <c r="L17" s="25"/>
      <c r="O17" s="57"/>
      <c r="S17" s="346"/>
      <c r="T17" s="123"/>
      <c r="U17" s="123"/>
      <c r="V17" s="345"/>
      <c r="W17" s="345"/>
      <c r="AB17" s="344"/>
      <c r="AD17" s="247"/>
    </row>
    <row r="18" spans="1:30" x14ac:dyDescent="0.3">
      <c r="AB18" s="344"/>
      <c r="AD18" s="247"/>
    </row>
    <row r="19" spans="1:30" x14ac:dyDescent="0.3">
      <c r="AB19" s="344"/>
      <c r="AD19" s="247"/>
    </row>
    <row r="20" spans="1:30" x14ac:dyDescent="0.3">
      <c r="AB20" s="344"/>
      <c r="AD20" s="247"/>
    </row>
  </sheetData>
  <mergeCells count="8">
    <mergeCell ref="A1:C1"/>
    <mergeCell ref="D1:F1"/>
    <mergeCell ref="O1:R1"/>
    <mergeCell ref="L1:N1"/>
    <mergeCell ref="AF1:AP1"/>
    <mergeCell ref="I1:K1"/>
    <mergeCell ref="AB1:AE1"/>
    <mergeCell ref="S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sets</vt:lpstr>
      <vt:lpstr>value_chain</vt:lpstr>
      <vt:lpstr>risk</vt:lpstr>
      <vt:lpstr>price_data</vt:lpstr>
      <vt:lpstr>nitrogen</vt:lpstr>
      <vt:lpstr>Livestock</vt:lpstr>
      <vt:lpstr>household_data</vt:lpstr>
      <vt:lpstr>farm_data</vt:lpstr>
      <vt:lpstr>energy_data</vt:lpstr>
      <vt:lpstr>crop_data</vt:lpstr>
      <vt:lpstr>calib_data</vt:lpstr>
      <vt:lpstr>water</vt:lpstr>
      <vt:lpstr>agroforestry_data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Mathieu Cuilleret</cp:lastModifiedBy>
  <dcterms:created xsi:type="dcterms:W3CDTF">2025-07-01T10:17:14Z</dcterms:created>
  <dcterms:modified xsi:type="dcterms:W3CDTF">2026-05-27T07:50:44Z</dcterms:modified>
</cp:coreProperties>
</file>