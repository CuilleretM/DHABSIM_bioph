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uilleret\Documents\gamsdir\projdir\Model_Dahbsim_20_04_2026\DATA\"/>
    </mc:Choice>
  </mc:AlternateContent>
  <xr:revisionPtr revIDLastSave="0" documentId="13_ncr:1_{C5611A9C-7957-45A1-8B63-5AFB895B5ADF}" xr6:coauthVersionLast="47" xr6:coauthVersionMax="47" xr10:uidLastSave="{00000000-0000-0000-0000-000000000000}"/>
  <bookViews>
    <workbookView xWindow="-108" yWindow="-108" windowWidth="23256" windowHeight="12456" xr2:uid="{1FC92112-6D86-42C8-A539-941B6DFF6310}"/>
  </bookViews>
  <sheets>
    <sheet name="sets" sheetId="15" r:id="rId1"/>
    <sheet name="value_chain" sheetId="12" r:id="rId2"/>
    <sheet name="risk" sheetId="16" r:id="rId3"/>
    <sheet name="price_data" sheetId="17" r:id="rId4"/>
    <sheet name="nitrogen" sheetId="18" r:id="rId5"/>
    <sheet name="Livestock" sheetId="19" r:id="rId6"/>
    <sheet name="household_data" sheetId="20" r:id="rId7"/>
    <sheet name="farm_data" sheetId="21" r:id="rId8"/>
    <sheet name="energy_data" sheetId="22" r:id="rId9"/>
    <sheet name="crop_data" sheetId="23" r:id="rId10"/>
    <sheet name="calib_data" sheetId="24" r:id="rId11"/>
    <sheet name="water" sheetId="25" r:id="rId12"/>
    <sheet name="agroforestry_data" sheetId="26" r:id="rId13"/>
  </sheets>
  <definedNames>
    <definedName name="_xlnm._FilterDatabase" localSheetId="6" hidden="1">household_data!#REF!</definedName>
    <definedName name="_xlnm._FilterDatabase" localSheetId="5" hidden="1">Livestock!$M$4:$X$39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G23" i="19" l="1"/>
  <c r="AG18" i="19"/>
  <c r="AG13" i="19"/>
  <c r="AG8" i="19"/>
</calcChain>
</file>

<file path=xl/sharedStrings.xml><?xml version="1.0" encoding="utf-8"?>
<sst xmlns="http://schemas.openxmlformats.org/spreadsheetml/2006/main" count="5821" uniqueCount="700">
  <si>
    <t>fertilizer_N_seller1</t>
  </si>
  <si>
    <t>fertilizer_S_seller2</t>
  </si>
  <si>
    <t>fertilizer_N_seller2</t>
  </si>
  <si>
    <t>fertilizer_S_seller1</t>
  </si>
  <si>
    <t>Name of seller</t>
  </si>
  <si>
    <t>seller</t>
  </si>
  <si>
    <t>inout</t>
  </si>
  <si>
    <t>nitr</t>
  </si>
  <si>
    <t>p_labor_seller</t>
  </si>
  <si>
    <t>p_capacity_seller</t>
  </si>
  <si>
    <t>buyer</t>
  </si>
  <si>
    <t>crop_market1</t>
  </si>
  <si>
    <t>crop_market2</t>
  </si>
  <si>
    <t>p_capacity_buyer</t>
  </si>
  <si>
    <t>p_labor_buyer</t>
  </si>
  <si>
    <t>hh_1</t>
  </si>
  <si>
    <t>hh_2</t>
  </si>
  <si>
    <t>actor</t>
  </si>
  <si>
    <t>seeder</t>
  </si>
  <si>
    <t>crop</t>
  </si>
  <si>
    <t>p_capacity_seeder</t>
  </si>
  <si>
    <t>p_labor_seeder</t>
  </si>
  <si>
    <t>p_price_seeder</t>
  </si>
  <si>
    <t>p_price_buyer</t>
  </si>
  <si>
    <t>p_price_seller</t>
  </si>
  <si>
    <t>bovmeat</t>
  </si>
  <si>
    <t>goatmeat</t>
  </si>
  <si>
    <t>sheepmeat</t>
  </si>
  <si>
    <t>bovmilk</t>
  </si>
  <si>
    <t>Input and output list</t>
  </si>
  <si>
    <t>Maximum capacity of sell of each seller</t>
  </si>
  <si>
    <t>Number of day of work for a saler to consider one kg of input</t>
  </si>
  <si>
    <t>Price for one kg of input</t>
  </si>
  <si>
    <t>Seller data</t>
  </si>
  <si>
    <t>Name of seed seller</t>
  </si>
  <si>
    <t>Maximum capacity of sell of each seed seller</t>
  </si>
  <si>
    <t>Price for one kg of seed</t>
  </si>
  <si>
    <t>Seed seller data</t>
  </si>
  <si>
    <t>Name of buyer</t>
  </si>
  <si>
    <t>Maximum capacity of buy of each buyer</t>
  </si>
  <si>
    <t>Number of day of work for a buyer per kg of output</t>
  </si>
  <si>
    <t>Output list</t>
  </si>
  <si>
    <t>Buyer data</t>
  </si>
  <si>
    <t>Distance data</t>
  </si>
  <si>
    <t>Household</t>
  </si>
  <si>
    <t>hhold</t>
  </si>
  <si>
    <t>Buyer, seller and seeder name</t>
  </si>
  <si>
    <t>distance</t>
  </si>
  <si>
    <t>phyto</t>
  </si>
  <si>
    <t>phyto_seller_1</t>
  </si>
  <si>
    <t>other</t>
  </si>
  <si>
    <t>other_seller_1</t>
  </si>
  <si>
    <t>fertilizer_AF_seller1</t>
  </si>
  <si>
    <t>Seller data AF</t>
  </si>
  <si>
    <t>phyto_AF_seller_1</t>
  </si>
  <si>
    <t>other_AF_seller_1</t>
  </si>
  <si>
    <t>plants_nb</t>
  </si>
  <si>
    <t>plants_AF_seller_1</t>
  </si>
  <si>
    <t>Seller data A</t>
  </si>
  <si>
    <t>other_A_seller_1</t>
  </si>
  <si>
    <t>othCostLivestock</t>
  </si>
  <si>
    <t>costVeterinary</t>
  </si>
  <si>
    <t>veterinary_A_seller_1</t>
  </si>
  <si>
    <t>AdditionalCostLivestock</t>
  </si>
  <si>
    <t>additional_A_seller_1</t>
  </si>
  <si>
    <t>Livestock seller</t>
  </si>
  <si>
    <t>livestock_market_1</t>
  </si>
  <si>
    <t>dairy</t>
  </si>
  <si>
    <t>beef</t>
  </si>
  <si>
    <t>sheep</t>
  </si>
  <si>
    <t>goat_meat</t>
  </si>
  <si>
    <t>goat_milk</t>
  </si>
  <si>
    <t>inout_a</t>
  </si>
  <si>
    <t>feedc</t>
  </si>
  <si>
    <t>feed_market_1</t>
  </si>
  <si>
    <t>dwheat_straw</t>
  </si>
  <si>
    <t>oat_straw</t>
  </si>
  <si>
    <t>barley_straw</t>
  </si>
  <si>
    <t>concentrate</t>
  </si>
  <si>
    <t>type_animal</t>
  </si>
  <si>
    <t>GHG data</t>
  </si>
  <si>
    <t>Products and other</t>
  </si>
  <si>
    <t>GHG</t>
  </si>
  <si>
    <t>ghg_km</t>
  </si>
  <si>
    <t xml:space="preserve">nitr  </t>
  </si>
  <si>
    <t>averageresidue</t>
  </si>
  <si>
    <t>manure</t>
  </si>
  <si>
    <t>Feed seller</t>
  </si>
  <si>
    <t xml:space="preserve">Sets </t>
  </si>
  <si>
    <t>Litterature-online data</t>
  </si>
  <si>
    <t>Survey data</t>
  </si>
  <si>
    <t>Expert data</t>
  </si>
  <si>
    <t>Calibration - modeling</t>
  </si>
  <si>
    <t>Value of GHG/kg of product</t>
  </si>
  <si>
    <t>Value of distance Number of km</t>
  </si>
  <si>
    <t>fert</t>
  </si>
  <si>
    <t>seed</t>
  </si>
  <si>
    <t>eps</t>
  </si>
  <si>
    <t>wheat_c</t>
  </si>
  <si>
    <t>maize_c</t>
  </si>
  <si>
    <t>clover_c</t>
  </si>
  <si>
    <t>sorghum_c</t>
  </si>
  <si>
    <t>sugarcane_c</t>
  </si>
  <si>
    <t>imp_wheat</t>
  </si>
  <si>
    <t>imp_maize</t>
  </si>
  <si>
    <t>good_wheat</t>
  </si>
  <si>
    <t>good_maize</t>
  </si>
  <si>
    <t>good_clover</t>
  </si>
  <si>
    <t>good_sorghum</t>
  </si>
  <si>
    <t>good_sugar</t>
  </si>
  <si>
    <t>wheat</t>
  </si>
  <si>
    <t>maize</t>
  </si>
  <si>
    <t>clover</t>
  </si>
  <si>
    <t>sorghum</t>
  </si>
  <si>
    <t>sugarcane</t>
  </si>
  <si>
    <t>EPS</t>
  </si>
  <si>
    <t>y39</t>
  </si>
  <si>
    <t>y38</t>
  </si>
  <si>
    <t>y37</t>
  </si>
  <si>
    <t>y36</t>
  </si>
  <si>
    <t>y35</t>
  </si>
  <si>
    <t>y34</t>
  </si>
  <si>
    <t>y33</t>
  </si>
  <si>
    <t>y32</t>
  </si>
  <si>
    <t>y31</t>
  </si>
  <si>
    <t>y30</t>
  </si>
  <si>
    <t>y29</t>
  </si>
  <si>
    <t>y28</t>
  </si>
  <si>
    <t>y27</t>
  </si>
  <si>
    <t>y26</t>
  </si>
  <si>
    <t>y25</t>
  </si>
  <si>
    <t>y24</t>
  </si>
  <si>
    <t>y23</t>
  </si>
  <si>
    <t>y22</t>
  </si>
  <si>
    <t>y21</t>
  </si>
  <si>
    <t>y20</t>
  </si>
  <si>
    <t>y19</t>
  </si>
  <si>
    <t>y18</t>
  </si>
  <si>
    <t>y17</t>
  </si>
  <si>
    <t>y16</t>
  </si>
  <si>
    <t>y15</t>
  </si>
  <si>
    <t>y14</t>
  </si>
  <si>
    <t>y13</t>
  </si>
  <si>
    <t>y12</t>
  </si>
  <si>
    <t>y11</t>
  </si>
  <si>
    <t>y10</t>
  </si>
  <si>
    <t>y09</t>
  </si>
  <si>
    <t>y08</t>
  </si>
  <si>
    <t>y07</t>
  </si>
  <si>
    <t>y06</t>
  </si>
  <si>
    <t>y05</t>
  </si>
  <si>
    <t>y04</t>
  </si>
  <si>
    <t>y03</t>
  </si>
  <si>
    <t>y02</t>
  </si>
  <si>
    <t>y01</t>
  </si>
  <si>
    <t>M07</t>
  </si>
  <si>
    <t>M06</t>
  </si>
  <si>
    <t>M05</t>
  </si>
  <si>
    <t>M04</t>
  </si>
  <si>
    <t>M12</t>
  </si>
  <si>
    <t>M11</t>
  </si>
  <si>
    <t>M03</t>
  </si>
  <si>
    <t>M02</t>
  </si>
  <si>
    <t>M01</t>
  </si>
  <si>
    <t>M10</t>
  </si>
  <si>
    <t>M09</t>
  </si>
  <si>
    <t>M08</t>
  </si>
  <si>
    <t>no_plant</t>
  </si>
  <si>
    <t>m12</t>
  </si>
  <si>
    <t>m11</t>
  </si>
  <si>
    <t>m10</t>
  </si>
  <si>
    <t>m09</t>
  </si>
  <si>
    <t>m08</t>
  </si>
  <si>
    <t>harvest</t>
  </si>
  <si>
    <t>m07</t>
  </si>
  <si>
    <t>pesticide</t>
  </si>
  <si>
    <t>m06</t>
  </si>
  <si>
    <t>org_fert</t>
  </si>
  <si>
    <t>inc_offfarm</t>
  </si>
  <si>
    <t>m05</t>
  </si>
  <si>
    <t>maize_straw</t>
  </si>
  <si>
    <t>che_fert</t>
  </si>
  <si>
    <t>lab_total</t>
  </si>
  <si>
    <t>seedTotal</t>
  </si>
  <si>
    <t>m04</t>
  </si>
  <si>
    <t>herbicide</t>
  </si>
  <si>
    <t>total</t>
  </si>
  <si>
    <t>lab_family</t>
  </si>
  <si>
    <t>seedPurch</t>
  </si>
  <si>
    <t>labor</t>
  </si>
  <si>
    <t>int_3</t>
  </si>
  <si>
    <t>field3</t>
  </si>
  <si>
    <t>m03</t>
  </si>
  <si>
    <t>weeding</t>
  </si>
  <si>
    <t>female</t>
  </si>
  <si>
    <t>hired</t>
  </si>
  <si>
    <t>farm_size</t>
  </si>
  <si>
    <t>seedExch</t>
  </si>
  <si>
    <t>int_2</t>
  </si>
  <si>
    <t>field2</t>
  </si>
  <si>
    <t>m02</t>
  </si>
  <si>
    <t>planting</t>
  </si>
  <si>
    <t>male</t>
  </si>
  <si>
    <t>family</t>
  </si>
  <si>
    <t>hh_size</t>
  </si>
  <si>
    <t>seedOnfarm</t>
  </si>
  <si>
    <t>int_1</t>
  </si>
  <si>
    <t>field1</t>
  </si>
  <si>
    <t>m01</t>
  </si>
  <si>
    <t>month</t>
  </si>
  <si>
    <t>task</t>
  </si>
  <si>
    <t>current crop</t>
  </si>
  <si>
    <t>previous crop</t>
  </si>
  <si>
    <t>good</t>
  </si>
  <si>
    <t>output</t>
  </si>
  <si>
    <t>activity</t>
  </si>
  <si>
    <t>Set of labor type</t>
  </si>
  <si>
    <t>Set of labor class</t>
  </si>
  <si>
    <t>Set for household variable</t>
  </si>
  <si>
    <t>Set for the household</t>
  </si>
  <si>
    <t>Set of the name of case study</t>
  </si>
  <si>
    <t>Set for seed management</t>
  </si>
  <si>
    <t>Set of goods</t>
  </si>
  <si>
    <t>Set of co product</t>
  </si>
  <si>
    <t>Set of product</t>
  </si>
  <si>
    <t>Set of input value</t>
  </si>
  <si>
    <t>Set of input quantity</t>
  </si>
  <si>
    <t>Set of intensity</t>
  </si>
  <si>
    <t>Set of field</t>
  </si>
  <si>
    <t>Set of variety</t>
  </si>
  <si>
    <t>Set of months</t>
  </si>
  <si>
    <t>Set of years</t>
  </si>
  <si>
    <t>Labor tasks by month</t>
  </si>
  <si>
    <t>Mapping rotation</t>
  </si>
  <si>
    <t>Mapping output-goods</t>
  </si>
  <si>
    <t>Mapping activity-output</t>
  </si>
  <si>
    <t>Labor type</t>
  </si>
  <si>
    <t>Labor class</t>
  </si>
  <si>
    <t>Household definition variables</t>
  </si>
  <si>
    <t>Household types</t>
  </si>
  <si>
    <t>Regions</t>
  </si>
  <si>
    <t>Seed use sources</t>
  </si>
  <si>
    <t>Consumption goods</t>
  </si>
  <si>
    <t>Outputs (co-products)</t>
  </si>
  <si>
    <t>Outputs (main products)</t>
  </si>
  <si>
    <t>Inputs value</t>
  </si>
  <si>
    <t>Inputs quantity</t>
  </si>
  <si>
    <t>Intensity level</t>
  </si>
  <si>
    <t>Field</t>
  </si>
  <si>
    <t>Crops</t>
  </si>
  <si>
    <t>Months</t>
  </si>
  <si>
    <t>Years</t>
  </si>
  <si>
    <t>p_phi</t>
  </si>
  <si>
    <t>dr</t>
  </si>
  <si>
    <t>distance_km</t>
  </si>
  <si>
    <t>hh_4</t>
  </si>
  <si>
    <t>hh_3</t>
  </si>
  <si>
    <t>p_good_price</t>
  </si>
  <si>
    <t>hh</t>
  </si>
  <si>
    <t>pseed_localCurrency_kg</t>
  </si>
  <si>
    <t>crop_activity</t>
  </si>
  <si>
    <t>selprice</t>
  </si>
  <si>
    <t>buyprice</t>
  </si>
  <si>
    <t xml:space="preserve">exhange rate </t>
  </si>
  <si>
    <t>Price of good in local currency</t>
  </si>
  <si>
    <t>Good</t>
  </si>
  <si>
    <t>Seed Price (localCurrency/kg)</t>
  </si>
  <si>
    <t>Crop activity</t>
  </si>
  <si>
    <t>Selling price of crop (localCurrency/kg)</t>
  </si>
  <si>
    <t>Buying price of crop (localCurrency/kg)</t>
  </si>
  <si>
    <t>local Currency</t>
  </si>
  <si>
    <t>USD</t>
  </si>
  <si>
    <t>Good price</t>
  </si>
  <si>
    <t>Crop activity price</t>
  </si>
  <si>
    <t>Inout price</t>
  </si>
  <si>
    <t>Exchange rate</t>
  </si>
  <si>
    <t>p_Hini_raw</t>
  </si>
  <si>
    <t>p_nfert_max_annual_raw</t>
  </si>
  <si>
    <t>p_Nl_raw</t>
  </si>
  <si>
    <t>p_Mscomp_raw</t>
  </si>
  <si>
    <t>p_Qcomp_raw</t>
  </si>
  <si>
    <t>p_Norg_raw</t>
  </si>
  <si>
    <t>p_Nini_raw</t>
  </si>
  <si>
    <t>p_effr</t>
  </si>
  <si>
    <t>p_MSres</t>
  </si>
  <si>
    <t>prof</t>
  </si>
  <si>
    <t>da</t>
  </si>
  <si>
    <t>K3</t>
  </si>
  <si>
    <t>p_Nres</t>
  </si>
  <si>
    <t>K2</t>
  </si>
  <si>
    <t>field</t>
  </si>
  <si>
    <t>K1</t>
  </si>
  <si>
    <t>act</t>
  </si>
  <si>
    <t>Initial amount of humus in the field during the 1st year</t>
  </si>
  <si>
    <t>Maximum quantity of fertilizer that can be use per field</t>
  </si>
  <si>
    <t>Quantity of fertilizer that leached</t>
  </si>
  <si>
    <t>Share of dry matter in compost</t>
  </si>
  <si>
    <t>Fixed quantity of compost used each year (kg)</t>
  </si>
  <si>
    <t>Organic fertilization for first year</t>
  </si>
  <si>
    <t>Nitrogen already in the field during the 1st year</t>
  </si>
  <si>
    <t>Share of nitrogen in the kg of dry matter of each product</t>
  </si>
  <si>
    <t>Share of dry matter in raw residue</t>
  </si>
  <si>
    <t>Depth of soil</t>
  </si>
  <si>
    <t>https://soilgrids.org/</t>
  </si>
  <si>
    <t>Initial humus quantity</t>
  </si>
  <si>
    <t>Maximum amount of fertilizer</t>
  </si>
  <si>
    <t>N leaching</t>
  </si>
  <si>
    <t>Dry matter from compost</t>
  </si>
  <si>
    <t>Quantity of compost</t>
  </si>
  <si>
    <t>N from organic fertilization</t>
  </si>
  <si>
    <t>Initial amount of nitrogen in soil</t>
  </si>
  <si>
    <t>Nitrate by kg of dry matter of biomass</t>
  </si>
  <si>
    <t>Dry matter from Qres</t>
  </si>
  <si>
    <t>Prof</t>
  </si>
  <si>
    <t>Soil bulk density</t>
  </si>
  <si>
    <t xml:space="preserve">K3 coefficient
Compost coefficient [0.01 ;0.2]  </t>
  </si>
  <si>
    <t>K2 coefficient
mineralization coefficient [0,01 ; 0,03]</t>
  </si>
  <si>
    <t>K1 Nitrogen requirement per kg of grain yield</t>
  </si>
  <si>
    <t>dry_matter</t>
  </si>
  <si>
    <t>protein</t>
  </si>
  <si>
    <t>gross_energy</t>
  </si>
  <si>
    <t>yield</t>
  </si>
  <si>
    <t>age</t>
  </si>
  <si>
    <t>p_feed_price</t>
  </si>
  <si>
    <t>price in TND</t>
  </si>
  <si>
    <t>product</t>
  </si>
  <si>
    <t>Type_animal</t>
  </si>
  <si>
    <t>p_AdditionalCostLivestock</t>
  </si>
  <si>
    <t>p_costVeterinary</t>
  </si>
  <si>
    <t>p_othCostLivestock</t>
  </si>
  <si>
    <t>p_initPopulation</t>
  </si>
  <si>
    <t>p_ca</t>
  </si>
  <si>
    <t>p_prot_metab</t>
  </si>
  <si>
    <t>p_LaborReq</t>
  </si>
  <si>
    <t>p_MortalityRate</t>
  </si>
  <si>
    <t>p_BirthRate</t>
  </si>
  <si>
    <t>Type of feed</t>
  </si>
  <si>
    <t>Type of animal</t>
  </si>
  <si>
    <t>Quantity dry matter per animal per year</t>
  </si>
  <si>
    <t>Quantity of protein per heads per year</t>
  </si>
  <si>
    <t>Quantity of calories per head per year</t>
  </si>
  <si>
    <t>Quantity of output kg per head</t>
  </si>
  <si>
    <t>age of the animal</t>
  </si>
  <si>
    <t>Output of the animal</t>
  </si>
  <si>
    <t>Feed price</t>
  </si>
  <si>
    <t>Price per kg of output</t>
  </si>
  <si>
    <t>Output of the animal in kg</t>
  </si>
  <si>
    <t>Yearly additional cost linked to livestock</t>
  </si>
  <si>
    <t>Yearly cost per veterinary</t>
  </si>
  <si>
    <t>Yearly other variable cost</t>
  </si>
  <si>
    <t>Initial population of animal</t>
  </si>
  <si>
    <t>coefficient of activity parameter</t>
  </si>
  <si>
    <t>Protein metabolism parameter</t>
  </si>
  <si>
    <t>Quantity of day of labor per animal per year</t>
  </si>
  <si>
    <t xml:space="preserve">Annual mortality rate </t>
  </si>
  <si>
    <t xml:space="preserve">Birthrate number </t>
  </si>
  <si>
    <t>p_protein_feed</t>
  </si>
  <si>
    <t>p_drymatter_feed</t>
  </si>
  <si>
    <t>p_grossenergy_feed</t>
  </si>
  <si>
    <t>Age</t>
  </si>
  <si>
    <t>akmilk</t>
  </si>
  <si>
    <t>akmeat</t>
  </si>
  <si>
    <t>ak</t>
  </si>
  <si>
    <t xml:space="preserve">https://www.feedipedia.org/ </t>
  </si>
  <si>
    <t>% of protein in feed</t>
  </si>
  <si>
    <t>https://www.feedipedia.org/</t>
  </si>
  <si>
    <t>% of dry matter in feed</t>
  </si>
  <si>
    <t>MJ/kg in kg</t>
  </si>
  <si>
    <t>Mapping feed type of animal</t>
  </si>
  <si>
    <t>Minimum require of food</t>
  </si>
  <si>
    <t>Livestock yield of inputs and outputs</t>
  </si>
  <si>
    <t>Livestock price of inputs and outputs</t>
  </si>
  <si>
    <t>Livestock data</t>
  </si>
  <si>
    <t>Protein content of feed</t>
  </si>
  <si>
    <t>Dry matter content of feed</t>
  </si>
  <si>
    <t>Gross energy content of feed</t>
  </si>
  <si>
    <t>Feed use sources</t>
  </si>
  <si>
    <t>Age possible</t>
  </si>
  <si>
    <t>Livestock types</t>
  </si>
  <si>
    <t>Milk product</t>
  </si>
  <si>
    <t>Meat product</t>
  </si>
  <si>
    <t>Animal product</t>
  </si>
  <si>
    <t>p_workTimeMax</t>
  </si>
  <si>
    <t>average</t>
  </si>
  <si>
    <t>p_MaxHiredLabor</t>
  </si>
  <si>
    <t>Average consumption of goods per person per kg</t>
  </si>
  <si>
    <t>Off farm income</t>
  </si>
  <si>
    <t>Number of people of the household</t>
  </si>
  <si>
    <t>Consumption data</t>
  </si>
  <si>
    <t>Boundaries of labor</t>
  </si>
  <si>
    <t>Household data</t>
  </si>
  <si>
    <t>com_f_persday_ha</t>
  </si>
  <si>
    <t>com_m_persday_ha</t>
  </si>
  <si>
    <t>fam_f_persday_ha</t>
  </si>
  <si>
    <t>fam_m_persday_ha</t>
  </si>
  <si>
    <t>Communal Female Labour use (person-days/ha)</t>
  </si>
  <si>
    <t>Communal Male Labour use (person-days/ha)</t>
  </si>
  <si>
    <t>Family Female Labour use (person-days/ha)</t>
  </si>
  <si>
    <t>Family Male Labour use (person-days/ha)</t>
  </si>
  <si>
    <t>ploss</t>
  </si>
  <si>
    <t>Supply of non hired labor</t>
  </si>
  <si>
    <t>Farm loss by output</t>
  </si>
  <si>
    <t>p_feed_energy</t>
  </si>
  <si>
    <t>energy</t>
  </si>
  <si>
    <t>irrigation</t>
  </si>
  <si>
    <t>plants</t>
  </si>
  <si>
    <t>phytosanitary</t>
  </si>
  <si>
    <t>fertilizer</t>
  </si>
  <si>
    <t>prun_MJ_ha</t>
  </si>
  <si>
    <t>grubb_MJ_ha</t>
  </si>
  <si>
    <t>harv_MJ_ha</t>
  </si>
  <si>
    <t>pest_MJ_ha</t>
  </si>
  <si>
    <t>orgfer_MJ_ha</t>
  </si>
  <si>
    <t>chemfer_MJ_ha</t>
  </si>
  <si>
    <t>weed_MJ_ha</t>
  </si>
  <si>
    <t>plant_MJ_ha</t>
  </si>
  <si>
    <t>inten</t>
  </si>
  <si>
    <t>tree _activity</t>
  </si>
  <si>
    <t>seeds</t>
  </si>
  <si>
    <t>herb_MJ_ha</t>
  </si>
  <si>
    <t>Energy per head of animal MJ/head</t>
  </si>
  <si>
    <t>MJ/m3</t>
  </si>
  <si>
    <t>MJ/kg of plants</t>
  </si>
  <si>
    <t>MJ/€ of phytosanitary</t>
  </si>
  <si>
    <t>MJ/kg of nitrogen</t>
  </si>
  <si>
    <t>Energy for pruning</t>
  </si>
  <si>
    <t>Energy for grubbing</t>
  </si>
  <si>
    <t xml:space="preserve">Energy for harvesting </t>
  </si>
  <si>
    <t>Energy for pesticide</t>
  </si>
  <si>
    <t>Energy for organic fertil</t>
  </si>
  <si>
    <t>Energy for chemical fertil</t>
  </si>
  <si>
    <t>Weeding task</t>
  </si>
  <si>
    <t>Planting activity</t>
  </si>
  <si>
    <t>Intensity</t>
  </si>
  <si>
    <t>Tree variety</t>
  </si>
  <si>
    <t>MJ/kg of seeds</t>
  </si>
  <si>
    <t>harvest_MJ_ha</t>
  </si>
  <si>
    <t>pesticide_MJ_ha</t>
  </si>
  <si>
    <t>organic_fert_MJ_ha</t>
  </si>
  <si>
    <t>chemical_fer_MJ_ha</t>
  </si>
  <si>
    <t>herbicide_MJ_ha</t>
  </si>
  <si>
    <t>weeding_MJ_ha</t>
  </si>
  <si>
    <t>planting _MJ_ha</t>
  </si>
  <si>
    <t>level intensification</t>
  </si>
  <si>
    <t>Sum of Machinery + Diesel + Electricity</t>
  </si>
  <si>
    <t>Feed livestock energy</t>
  </si>
  <si>
    <t>Energy coefficient for crop</t>
  </si>
  <si>
    <t>Energy for agroforestry</t>
  </si>
  <si>
    <t>Require energy by task for tree activity</t>
  </si>
  <si>
    <t>harv_persday_ha</t>
  </si>
  <si>
    <t>pest_persday_ha</t>
  </si>
  <si>
    <t>orgfer_persday_ha</t>
  </si>
  <si>
    <t>chemfer_persday_ha</t>
  </si>
  <si>
    <t>herb_persday_ha</t>
  </si>
  <si>
    <t>weed_persday_ha</t>
  </si>
  <si>
    <t>plant_persday_ha</t>
  </si>
  <si>
    <t>seeds_onFarm_ha</t>
  </si>
  <si>
    <t>area_ha</t>
  </si>
  <si>
    <t>phyto_localCurrency_ha</t>
  </si>
  <si>
    <t>ystraw_kg_ha</t>
  </si>
  <si>
    <t>yield_kg_ha</t>
  </si>
  <si>
    <t>seeds_kg_ha</t>
  </si>
  <si>
    <t>nitr_kg_ha</t>
  </si>
  <si>
    <t>other_localCurrency_ha</t>
  </si>
  <si>
    <t>value</t>
  </si>
  <si>
    <t>harvest_personday_ha</t>
  </si>
  <si>
    <t>pesticide_personday_ha</t>
  </si>
  <si>
    <t>organic_fert_personday_ha</t>
  </si>
  <si>
    <t>chemical_fer_personday_ha</t>
  </si>
  <si>
    <t>herbicide_personday_ha</t>
  </si>
  <si>
    <t>weeding_personday_ha</t>
  </si>
  <si>
    <t>planting _personday_ha</t>
  </si>
  <si>
    <t>Stock of seed in the farm</t>
  </si>
  <si>
    <t>Area (ha)</t>
  </si>
  <si>
    <t>Cost of phyto use by ha</t>
  </si>
  <si>
    <t>Yield of co product by crop activity</t>
  </si>
  <si>
    <t>Yield of main product by crop activity</t>
  </si>
  <si>
    <t>Quantity of seed use by ha</t>
  </si>
  <si>
    <t>Quantity of nitrogen use by ha</t>
  </si>
  <si>
    <t>Other cost by crop activity</t>
  </si>
  <si>
    <t>Level of intensification</t>
  </si>
  <si>
    <t>Field number</t>
  </si>
  <si>
    <t>Household type</t>
  </si>
  <si>
    <t>resmulch</t>
  </si>
  <si>
    <t>Value of loss</t>
  </si>
  <si>
    <t>Output</t>
  </si>
  <si>
    <t>Residuedep</t>
  </si>
  <si>
    <t>Require labor by task for tree activity</t>
  </si>
  <si>
    <t>Main crop activity information :</t>
  </si>
  <si>
    <t>Mulching share</t>
  </si>
  <si>
    <t>Crop loss by output</t>
  </si>
  <si>
    <t xml:space="preserve">Feed not wasted </t>
  </si>
  <si>
    <t>Main previous crop</t>
  </si>
  <si>
    <t>p_nitr_calib</t>
  </si>
  <si>
    <t>p_water_calib</t>
  </si>
  <si>
    <t>Influence the p_npot</t>
  </si>
  <si>
    <t>Influence the p_kc</t>
  </si>
  <si>
    <t>Nitrogen calibration</t>
  </si>
  <si>
    <t>Water calibration</t>
  </si>
  <si>
    <t>p_cost_irrigation</t>
  </si>
  <si>
    <t>v0_max_irrigation</t>
  </si>
  <si>
    <t>reg</t>
  </si>
  <si>
    <t>irrigation ini</t>
  </si>
  <si>
    <t>p_swm</t>
  </si>
  <si>
    <t>p_factor</t>
  </si>
  <si>
    <t>p_rdm</t>
  </si>
  <si>
    <t>ym</t>
  </si>
  <si>
    <t>p_kc</t>
  </si>
  <si>
    <t>Dec</t>
  </si>
  <si>
    <t>Nov</t>
  </si>
  <si>
    <t>Oct</t>
  </si>
  <si>
    <t>Sep</t>
  </si>
  <si>
    <t>Aug</t>
  </si>
  <si>
    <t>Jul</t>
  </si>
  <si>
    <t>Jun</t>
  </si>
  <si>
    <t>May</t>
  </si>
  <si>
    <t>Apr</t>
  </si>
  <si>
    <t>Mar</t>
  </si>
  <si>
    <t>Feb</t>
  </si>
  <si>
    <t>Jan</t>
  </si>
  <si>
    <t>p_et0 data</t>
  </si>
  <si>
    <t>rainfall data</t>
  </si>
  <si>
    <t>price of water per cubicmeter</t>
  </si>
  <si>
    <t>https://extension.sdstate.edu/how-soil-holds-water</t>
  </si>
  <si>
    <t>q FC -  q WP 
water content at field capacity [m3 m-3] - water content at wilting point [m3 m-3]</t>
  </si>
  <si>
    <t xml:space="preserve">Depletion Fraction 2 (for ET » 5 mm/day) https://www.fao.org/4/x0490e/x0490e0e.htm#TopOfPage </t>
  </si>
  <si>
    <t xml:space="preserve">Maximum Root Depth 1
(m) https://www.fao.org/4/x0490e/x0490e0e.htm#TopOfPage </t>
  </si>
  <si>
    <t>Yield  https://www.fao.org/4/i2800e/i2800e.pdf</t>
  </si>
  <si>
    <t>Kc mid https://www.fao.org/4/x0490e/x0490e0b.htm#TopOfPage</t>
  </si>
  <si>
    <t>https://cds.climate.copernicus.eu/datasets/projections-cmip6?tab=overview</t>
  </si>
  <si>
    <t>Irrigation key data</t>
  </si>
  <si>
    <t>Initial irrigation quantity (mm)</t>
  </si>
  <si>
    <t>Maximum soil water available</t>
  </si>
  <si>
    <t>Water effect on crop data</t>
  </si>
  <si>
    <t>Reference evapotranspiration data</t>
  </si>
  <si>
    <t>Rain data</t>
  </si>
  <si>
    <t>pruning</t>
  </si>
  <si>
    <t>old</t>
  </si>
  <si>
    <t>grubbingup</t>
  </si>
  <si>
    <t>adult</t>
  </si>
  <si>
    <t>harvesting age</t>
  </si>
  <si>
    <t>young</t>
  </si>
  <si>
    <t>nitr_price_kg</t>
  </si>
  <si>
    <t>old age</t>
  </si>
  <si>
    <t>ageclass</t>
  </si>
  <si>
    <t>tree</t>
  </si>
  <si>
    <t>plants_nb_ha</t>
  </si>
  <si>
    <t>plant_price_nbr</t>
  </si>
  <si>
    <t>life</t>
  </si>
  <si>
    <t>prun_persday_ha</t>
  </si>
  <si>
    <t>grubb_persday_ha</t>
  </si>
  <si>
    <t>Yield of main product by tree activity and age</t>
  </si>
  <si>
    <t>Class of age of tree</t>
  </si>
  <si>
    <t>Tree activity</t>
  </si>
  <si>
    <t>Quantity of plant use by ha</t>
  </si>
  <si>
    <t>Other cost by tree activity</t>
  </si>
  <si>
    <t>share</t>
  </si>
  <si>
    <t>field number</t>
  </si>
  <si>
    <t>Price</t>
  </si>
  <si>
    <t>Task</t>
  </si>
  <si>
    <t>price</t>
  </si>
  <si>
    <t>input</t>
  </si>
  <si>
    <t>Age of the tree</t>
  </si>
  <si>
    <t>Share of the age of tree in the field</t>
  </si>
  <si>
    <t>Name of the field</t>
  </si>
  <si>
    <t>Variety of the tree</t>
  </si>
  <si>
    <t>Price in local currency</t>
  </si>
  <si>
    <t>Farmer task</t>
  </si>
  <si>
    <t xml:space="preserve">Month in which the activity take place </t>
  </si>
  <si>
    <t>The possible task</t>
  </si>
  <si>
    <t>The possible age of tree</t>
  </si>
  <si>
    <t>Name of the input product</t>
  </si>
  <si>
    <t>Class age of the tree</t>
  </si>
  <si>
    <t>Require labor by task</t>
  </si>
  <si>
    <t>Agroforestry yield by field</t>
  </si>
  <si>
    <t>Agroforestry detail data</t>
  </si>
  <si>
    <t>Share of age of tree in each field (v0_Age_AF)</t>
  </si>
  <si>
    <t>Fix cost of task</t>
  </si>
  <si>
    <t>Mapping of task by months for agroforestry</t>
  </si>
  <si>
    <t>List of task</t>
  </si>
  <si>
    <t>Possible age of tree</t>
  </si>
  <si>
    <t>Buyprice of tree product</t>
  </si>
  <si>
    <t>Limits of age by class age</t>
  </si>
  <si>
    <t>Buffer</t>
  </si>
  <si>
    <t>olive_loc</t>
  </si>
  <si>
    <t>Olive_loc</t>
  </si>
  <si>
    <t>Fig_loc</t>
  </si>
  <si>
    <t>54 </t>
  </si>
  <si>
    <t>hh_5</t>
  </si>
  <si>
    <t>fig_loc</t>
  </si>
  <si>
    <t>alfalfa_imp</t>
  </si>
  <si>
    <t>barley_imp</t>
  </si>
  <si>
    <t>chickpea_loc</t>
  </si>
  <si>
    <t>clover_imp</t>
  </si>
  <si>
    <t>dolique_imp</t>
  </si>
  <si>
    <t>durumw_imp</t>
  </si>
  <si>
    <t>favabean_loc</t>
  </si>
  <si>
    <t>forage_imp</t>
  </si>
  <si>
    <t>oat_imp</t>
  </si>
  <si>
    <t>onion_loc</t>
  </si>
  <si>
    <t>petitpois_imp</t>
  </si>
  <si>
    <t>potato_loc</t>
  </si>
  <si>
    <t>softw_loc</t>
  </si>
  <si>
    <t>sorgum_imp</t>
  </si>
  <si>
    <t>tomato_imp</t>
  </si>
  <si>
    <t>durumw_straw</t>
  </si>
  <si>
    <t>barley</t>
  </si>
  <si>
    <t>sorgum</t>
  </si>
  <si>
    <t>sorgum_straw</t>
  </si>
  <si>
    <t>tomato</t>
  </si>
  <si>
    <t>forage</t>
  </si>
  <si>
    <t>softw_straw</t>
  </si>
  <si>
    <t>oat</t>
  </si>
  <si>
    <t>durumw</t>
  </si>
  <si>
    <t>alfalfa</t>
  </si>
  <si>
    <t>petitpois</t>
  </si>
  <si>
    <t>dolique</t>
  </si>
  <si>
    <t>chickpea</t>
  </si>
  <si>
    <t>favabean</t>
  </si>
  <si>
    <t>onion</t>
  </si>
  <si>
    <t>potato</t>
  </si>
  <si>
    <t>softw</t>
  </si>
  <si>
    <t>softw_imp</t>
  </si>
  <si>
    <t xml:space="preserve"> </t>
  </si>
  <si>
    <t>oil_olive</t>
  </si>
  <si>
    <t>srumnmilk</t>
  </si>
  <si>
    <t>liveanimal</t>
  </si>
  <si>
    <t>Initial amount of residue for mulching</t>
  </si>
  <si>
    <t>fig</t>
  </si>
  <si>
    <t>olive</t>
  </si>
  <si>
    <t>good_alfalfa</t>
  </si>
  <si>
    <t>tizi</t>
  </si>
  <si>
    <t>good_barley</t>
  </si>
  <si>
    <t>good_sorgum</t>
  </si>
  <si>
    <t>good_dwheat</t>
  </si>
  <si>
    <t>good_tomato</t>
  </si>
  <si>
    <t>good_forage</t>
  </si>
  <si>
    <t>good_oat</t>
  </si>
  <si>
    <t>good_durumw</t>
  </si>
  <si>
    <t>good_petitpois</t>
  </si>
  <si>
    <t>good_dolique</t>
  </si>
  <si>
    <t>good_chickpea</t>
  </si>
  <si>
    <t>good_favabean</t>
  </si>
  <si>
    <t>good_onion</t>
  </si>
  <si>
    <t>good_potato</t>
  </si>
  <si>
    <t>good_softw</t>
  </si>
  <si>
    <t>fungicide</t>
  </si>
  <si>
    <t>insecticide</t>
  </si>
  <si>
    <t>y40</t>
  </si>
  <si>
    <t>y41</t>
  </si>
  <si>
    <t>y42</t>
  </si>
  <si>
    <t>y43</t>
  </si>
  <si>
    <t>y44</t>
  </si>
  <si>
    <t>y45</t>
  </si>
  <si>
    <t>y46</t>
  </si>
  <si>
    <t>y47</t>
  </si>
  <si>
    <t>y48</t>
  </si>
  <si>
    <t>y49</t>
  </si>
  <si>
    <t>y50</t>
  </si>
  <si>
    <t>y51</t>
  </si>
  <si>
    <t>y52</t>
  </si>
  <si>
    <t>y53</t>
  </si>
  <si>
    <t>y54</t>
  </si>
  <si>
    <t>y55</t>
  </si>
  <si>
    <t>y56</t>
  </si>
  <si>
    <t>y57</t>
  </si>
  <si>
    <t>y58</t>
  </si>
  <si>
    <t>y59</t>
  </si>
  <si>
    <t>y60</t>
  </si>
  <si>
    <t>y61</t>
  </si>
  <si>
    <t>y62</t>
  </si>
  <si>
    <t>y63</t>
  </si>
  <si>
    <t>y64</t>
  </si>
  <si>
    <t>y65</t>
  </si>
  <si>
    <t>y66</t>
  </si>
  <si>
    <t>y67</t>
  </si>
  <si>
    <t>y68</t>
  </si>
  <si>
    <t>y69</t>
  </si>
  <si>
    <t>y70</t>
  </si>
  <si>
    <t>y71</t>
  </si>
  <si>
    <t>y72</t>
  </si>
  <si>
    <t>y73</t>
  </si>
  <si>
    <t>y74</t>
  </si>
  <si>
    <t>y75</t>
  </si>
  <si>
    <t>y76</t>
  </si>
  <si>
    <t>y77</t>
  </si>
  <si>
    <t>y78</t>
  </si>
  <si>
    <t>y79</t>
  </si>
  <si>
    <t>y80</t>
  </si>
  <si>
    <t>y81</t>
  </si>
  <si>
    <t>y82</t>
  </si>
  <si>
    <t>y83</t>
  </si>
  <si>
    <t>y84</t>
  </si>
  <si>
    <t>y85</t>
  </si>
  <si>
    <t>y86</t>
  </si>
  <si>
    <t>y87</t>
  </si>
  <si>
    <t>y88</t>
  </si>
  <si>
    <t>y89</t>
  </si>
  <si>
    <t>y90</t>
  </si>
  <si>
    <t>y91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</si>
</sst>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\ _€_-;\-* #,##0.00\ _€_-;_-* &quot;-&quot;??\ _€_-;_-@_-"/>
  </numFmts>
  <fonts count="4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sz val="12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ptos Narrow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theme="1"/>
      <name val="Calibri"/>
      <family val="2"/>
    </font>
    <font>
      <sz val="11"/>
      <name val="Aptos Narrow"/>
      <family val="2"/>
      <scheme val="minor"/>
    </font>
    <font>
      <b/>
      <sz val="10"/>
      <name val="Arial"/>
      <family val="2"/>
    </font>
    <font>
      <sz val="8"/>
      <name val="Courier New"/>
      <family val="3"/>
    </font>
    <font>
      <sz val="10"/>
      <color rgb="FF000000"/>
      <name val="Arial"/>
      <family val="2"/>
    </font>
    <font>
      <sz val="18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indexed="8"/>
      <name val="Calibri"/>
      <family val="2"/>
    </font>
    <font>
      <sz val="12"/>
      <color indexed="0"/>
      <name val="Arial"/>
    </font>
    <font>
      <u/>
      <sz val="11"/>
      <color theme="10"/>
      <name val="Aptos Narrow"/>
      <family val="2"/>
      <scheme val="minor"/>
    </font>
    <font>
      <sz val="10"/>
      <color theme="1"/>
      <name val="Arial"/>
      <family val="2"/>
    </font>
    <font>
      <sz val="11"/>
      <name val="Consolas"/>
      <family val="3"/>
    </font>
    <font>
      <b/>
      <sz val="12"/>
      <color theme="1"/>
      <name val="Arial"/>
      <family val="2"/>
    </font>
    <font>
      <b/>
      <sz val="12"/>
      <name val="Arial"/>
      <family val="2"/>
    </font>
    <font>
      <b/>
      <sz val="14"/>
      <color theme="1"/>
      <name val="Arial"/>
      <family val="2"/>
    </font>
    <font>
      <sz val="11"/>
      <color theme="1"/>
      <name val="Segoe UI"/>
      <family val="2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10"/>
      <name val="Consolas"/>
      <family val="3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0"/>
      <color theme="1"/>
      <name val="Consolas"/>
      <family val="3"/>
    </font>
    <font>
      <b/>
      <sz val="12"/>
      <name val="Aptos Narrow"/>
      <family val="2"/>
      <scheme val="minor"/>
    </font>
    <font>
      <b/>
      <sz val="12"/>
      <name val="Consolas"/>
      <family val="3"/>
    </font>
    <font>
      <sz val="11"/>
      <color rgb="FFFF0000"/>
      <name val="Aptos Narrow"/>
      <family val="2"/>
      <scheme val="minor"/>
    </font>
    <font>
      <sz val="11"/>
      <color rgb="FFFF0000"/>
      <name val="Arial"/>
      <family val="2"/>
    </font>
    <font>
      <sz val="12"/>
      <color theme="6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DFFBD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double">
        <color indexed="64"/>
      </bottom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/>
      <right/>
      <top style="thin">
        <color indexed="64"/>
      </top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/>
      <top/>
      <bottom style="thin">
        <color indexed="64"/>
      </bottom>
      <diagonal/>
    </border>
  </borders>
  <cellStyleXfs count="33">
    <xf numFmtId="0" fontId="0" fillId="0" borderId="0"/>
    <xf numFmtId="0" fontId="2" fillId="0" borderId="0"/>
    <xf numFmtId="9" fontId="11" fillId="0" borderId="0" applyFont="0" applyFill="0" applyBorder="0" applyAlignment="0" applyProtection="0"/>
    <xf numFmtId="0" fontId="12" fillId="0" borderId="0" applyNumberFormat="0" applyFont="0" applyFill="0" applyBorder="0" applyAlignment="0" applyProtection="0"/>
    <xf numFmtId="164" fontId="11" fillId="0" borderId="0" applyFont="0" applyFill="0" applyBorder="0" applyAlignment="0" applyProtection="0"/>
    <xf numFmtId="0" fontId="16" fillId="0" borderId="0" applyNumberFormat="0" applyFill="0" applyBorder="0" applyProtection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2" fillId="0" borderId="0"/>
    <xf numFmtId="0" fontId="17" fillId="0" borderId="0" applyNumberFormat="0" applyBorder="0" applyProtection="0"/>
    <xf numFmtId="0" fontId="11" fillId="0" borderId="0"/>
    <xf numFmtId="0" fontId="11" fillId="0" borderId="0"/>
    <xf numFmtId="0" fontId="11" fillId="0" borderId="0"/>
    <xf numFmtId="0" fontId="18" fillId="0" borderId="0"/>
    <xf numFmtId="0" fontId="19" fillId="0" borderId="0"/>
    <xf numFmtId="0" fontId="18" fillId="0" borderId="0"/>
    <xf numFmtId="0" fontId="19" fillId="0" borderId="0"/>
    <xf numFmtId="0" fontId="19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8" fillId="0" borderId="0"/>
    <xf numFmtId="164" fontId="20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1" fillId="0" borderId="0">
      <alignment vertical="top"/>
      <protection locked="0"/>
    </xf>
    <xf numFmtId="0" fontId="22" fillId="0" borderId="0" applyNumberFormat="0" applyFill="0" applyBorder="0" applyAlignment="0" applyProtection="0"/>
    <xf numFmtId="164" fontId="11" fillId="0" borderId="0" applyFont="0" applyFill="0" applyBorder="0" applyAlignment="0" applyProtection="0"/>
  </cellStyleXfs>
  <cellXfs count="446">
    <xf numFmtId="0" fontId="0" fillId="0" borderId="0" xfId="0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0" fillId="0" borderId="1" xfId="0" applyFill="1" applyBorder="1"/>
    <xf numFmtId="0" fontId="0" fillId="0" borderId="1" xfId="0" applyBorder="1"/>
    <xf numFmtId="0" fontId="0" fillId="0" borderId="0" xfId="0" applyBorder="1"/>
    <xf numFmtId="0" fontId="0" fillId="0" borderId="5" xfId="0" applyBorder="1"/>
    <xf numFmtId="0" fontId="4" fillId="0" borderId="1" xfId="0" applyFont="1" applyFill="1" applyBorder="1"/>
    <xf numFmtId="0" fontId="4" fillId="0" borderId="5" xfId="0" applyFont="1" applyFill="1" applyBorder="1"/>
    <xf numFmtId="0" fontId="4" fillId="0" borderId="0" xfId="0" applyFont="1" applyBorder="1"/>
    <xf numFmtId="0" fontId="4" fillId="0" borderId="1" xfId="0" applyFont="1" applyBorder="1"/>
    <xf numFmtId="0" fontId="6" fillId="2" borderId="0" xfId="0" applyFont="1" applyFill="1" applyBorder="1" applyAlignment="1">
      <alignment horizontal="center" vertical="center" wrapText="1"/>
    </xf>
    <xf numFmtId="0" fontId="0" fillId="0" borderId="0" xfId="0" applyFill="1" applyBorder="1"/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left" vertical="top"/>
    </xf>
    <xf numFmtId="0" fontId="6" fillId="2" borderId="0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7" borderId="0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0" xfId="0" applyFont="1" applyFill="1" applyBorder="1"/>
    <xf numFmtId="0" fontId="4" fillId="7" borderId="5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1" xfId="0" applyFont="1" applyFill="1" applyBorder="1"/>
    <xf numFmtId="0" fontId="6" fillId="2" borderId="0" xfId="0" applyFont="1" applyFill="1" applyBorder="1"/>
    <xf numFmtId="0" fontId="0" fillId="2" borderId="0" xfId="0" applyFill="1" applyBorder="1"/>
    <xf numFmtId="0" fontId="4" fillId="4" borderId="1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0" fontId="0" fillId="0" borderId="6" xfId="0" applyFill="1" applyBorder="1"/>
    <xf numFmtId="0" fontId="7" fillId="4" borderId="0" xfId="0" applyFont="1" applyFill="1" applyBorder="1" applyAlignment="1">
      <alignment horizontal="center" vertical="center"/>
    </xf>
    <xf numFmtId="0" fontId="7" fillId="5" borderId="0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top"/>
    </xf>
    <xf numFmtId="0" fontId="1" fillId="0" borderId="0" xfId="0" applyFont="1" applyBorder="1"/>
    <xf numFmtId="0" fontId="0" fillId="2" borderId="0" xfId="0" applyFill="1" applyBorder="1" applyAlignment="1">
      <alignment vertical="top"/>
    </xf>
    <xf numFmtId="0" fontId="4" fillId="0" borderId="0" xfId="0" applyFont="1" applyBorder="1" applyAlignment="1">
      <alignment horizontal="left" vertical="top"/>
    </xf>
    <xf numFmtId="0" fontId="7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0" fillId="0" borderId="6" xfId="0" applyBorder="1"/>
    <xf numFmtId="0" fontId="4" fillId="0" borderId="6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vertical="center"/>
    </xf>
    <xf numFmtId="0" fontId="0" fillId="2" borderId="1" xfId="0" applyFill="1" applyBorder="1"/>
    <xf numFmtId="0" fontId="0" fillId="2" borderId="1" xfId="0" applyFill="1" applyBorder="1" applyAlignment="1">
      <alignment vertical="center"/>
    </xf>
    <xf numFmtId="0" fontId="6" fillId="2" borderId="5" xfId="0" applyFont="1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/>
    </xf>
    <xf numFmtId="0" fontId="5" fillId="7" borderId="0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2" fontId="4" fillId="0" borderId="1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5" borderId="5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2" fontId="12" fillId="0" borderId="0" xfId="3" quotePrefix="1" applyNumberFormat="1" applyBorder="1" applyAlignment="1">
      <alignment horizontal="center"/>
    </xf>
    <xf numFmtId="0" fontId="12" fillId="0" borderId="0" xfId="3" applyNumberFormat="1" applyFont="1" applyFill="1" applyBorder="1" applyAlignment="1">
      <alignment horizontal="center"/>
    </xf>
    <xf numFmtId="2" fontId="12" fillId="0" borderId="0" xfId="3" quotePrefix="1" applyNumberFormat="1" applyFont="1" applyBorder="1" applyAlignment="1">
      <alignment horizontal="center"/>
    </xf>
    <xf numFmtId="16" fontId="12" fillId="4" borderId="5" xfId="3" applyNumberFormat="1" applyFont="1" applyFill="1" applyBorder="1" applyAlignment="1">
      <alignment horizontal="center"/>
    </xf>
    <xf numFmtId="2" fontId="12" fillId="2" borderId="0" xfId="3" quotePrefix="1" applyNumberFormat="1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12" fillId="0" borderId="0" xfId="3" applyNumberFormat="1" applyFont="1" applyFill="1" applyBorder="1" applyAlignment="1">
      <alignment horizontal="left"/>
    </xf>
    <xf numFmtId="2" fontId="12" fillId="0" borderId="0" xfId="3" quotePrefix="1" applyNumberFormat="1" applyAlignment="1">
      <alignment horizontal="left"/>
    </xf>
    <xf numFmtId="16" fontId="12" fillId="0" borderId="0" xfId="3" applyNumberFormat="1" applyFont="1" applyFill="1" applyBorder="1" applyAlignment="1">
      <alignment horizontal="left"/>
    </xf>
    <xf numFmtId="2" fontId="12" fillId="0" borderId="0" xfId="3" quotePrefix="1" applyNumberFormat="1" applyFont="1" applyAlignment="1">
      <alignment horizontal="left"/>
    </xf>
    <xf numFmtId="0" fontId="0" fillId="0" borderId="6" xfId="0" applyBorder="1" applyAlignment="1">
      <alignment horizontal="center" vertical="center"/>
    </xf>
    <xf numFmtId="2" fontId="0" fillId="0" borderId="6" xfId="0" applyNumberFormat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6" xfId="0" applyFill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6" borderId="6" xfId="0" applyFill="1" applyBorder="1" applyAlignment="1">
      <alignment horizontal="center" vertical="center"/>
    </xf>
    <xf numFmtId="0" fontId="14" fillId="4" borderId="6" xfId="0" applyFont="1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5" fillId="2" borderId="5" xfId="3" applyNumberFormat="1" applyFont="1" applyFill="1" applyBorder="1" applyAlignment="1">
      <alignment horizontal="center" vertical="center" wrapText="1"/>
    </xf>
    <xf numFmtId="0" fontId="15" fillId="2" borderId="0" xfId="3" applyNumberFormat="1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2" fillId="0" borderId="5" xfId="3" applyNumberFormat="1" applyFont="1" applyFill="1" applyBorder="1" applyAlignment="1">
      <alignment horizontal="center"/>
    </xf>
    <xf numFmtId="0" fontId="7" fillId="6" borderId="6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1" fillId="0" borderId="7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0" fontId="0" fillId="0" borderId="0" xfId="0"/>
    <xf numFmtId="0" fontId="7" fillId="5" borderId="0" xfId="0" applyFont="1" applyFill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6" fillId="2" borderId="0" xfId="0" quotePrefix="1" applyFont="1" applyFill="1" applyAlignment="1">
      <alignment horizontal="center" vertical="center"/>
    </xf>
    <xf numFmtId="0" fontId="6" fillId="2" borderId="5" xfId="0" quotePrefix="1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1" fontId="6" fillId="2" borderId="5" xfId="0" applyNumberFormat="1" applyFont="1" applyFill="1" applyBorder="1" applyAlignment="1">
      <alignment horizontal="center" vertical="center" wrapText="1"/>
    </xf>
    <xf numFmtId="2" fontId="8" fillId="2" borderId="1" xfId="0" applyNumberFormat="1" applyFont="1" applyFill="1" applyBorder="1" applyAlignment="1">
      <alignment horizontal="center" vertical="center" wrapText="1"/>
    </xf>
    <xf numFmtId="2" fontId="8" fillId="2" borderId="0" xfId="0" applyNumberFormat="1" applyFont="1" applyFill="1" applyAlignment="1">
      <alignment horizontal="center" vertical="center" wrapText="1"/>
    </xf>
    <xf numFmtId="2" fontId="8" fillId="2" borderId="5" xfId="0" applyNumberFormat="1" applyFont="1" applyFill="1" applyBorder="1" applyAlignment="1">
      <alignment horizontal="center" vertical="center" wrapText="1"/>
    </xf>
    <xf numFmtId="0" fontId="0" fillId="4" borderId="0" xfId="0" applyFill="1"/>
    <xf numFmtId="0" fontId="4" fillId="0" borderId="1" xfId="0" applyFont="1" applyBorder="1" applyAlignment="1">
      <alignment horizontal="center" vertical="center"/>
    </xf>
    <xf numFmtId="0" fontId="7" fillId="3" borderId="0" xfId="0" applyFont="1" applyFill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0" fontId="0" fillId="0" borderId="0" xfId="0"/>
    <xf numFmtId="0" fontId="4" fillId="0" borderId="0" xfId="0" applyFont="1"/>
    <xf numFmtId="0" fontId="4" fillId="0" borderId="6" xfId="0" applyFont="1" applyBorder="1"/>
    <xf numFmtId="0" fontId="4" fillId="0" borderId="5" xfId="0" applyFont="1" applyBorder="1"/>
    <xf numFmtId="0" fontId="4" fillId="0" borderId="6" xfId="0" applyFont="1" applyBorder="1" applyAlignment="1">
      <alignment horizontal="center"/>
    </xf>
    <xf numFmtId="0" fontId="4" fillId="3" borderId="5" xfId="0" applyFont="1" applyFill="1" applyBorder="1"/>
    <xf numFmtId="0" fontId="4" fillId="2" borderId="1" xfId="0" applyFont="1" applyFill="1" applyBorder="1"/>
    <xf numFmtId="0" fontId="0" fillId="3" borderId="0" xfId="0" applyFill="1"/>
    <xf numFmtId="0" fontId="23" fillId="0" borderId="5" xfId="0" applyFont="1" applyBorder="1" applyAlignment="1">
      <alignment vertical="center"/>
    </xf>
    <xf numFmtId="0" fontId="4" fillId="5" borderId="5" xfId="0" applyFont="1" applyFill="1" applyBorder="1"/>
    <xf numFmtId="0" fontId="23" fillId="2" borderId="1" xfId="0" applyFont="1" applyFill="1" applyBorder="1" applyAlignment="1">
      <alignment vertical="center"/>
    </xf>
    <xf numFmtId="0" fontId="4" fillId="5" borderId="12" xfId="0" applyFont="1" applyFill="1" applyBorder="1"/>
    <xf numFmtId="0" fontId="4" fillId="3" borderId="12" xfId="0" applyFont="1" applyFill="1" applyBorder="1"/>
    <xf numFmtId="0" fontId="24" fillId="0" borderId="0" xfId="0" applyFont="1" applyAlignment="1">
      <alignment vertical="center"/>
    </xf>
    <xf numFmtId="0" fontId="23" fillId="5" borderId="12" xfId="0" applyFont="1" applyFill="1" applyBorder="1" applyAlignment="1">
      <alignment horizontal="center" vertical="center"/>
    </xf>
    <xf numFmtId="0" fontId="4" fillId="5" borderId="9" xfId="0" applyFont="1" applyFill="1" applyBorder="1"/>
    <xf numFmtId="0" fontId="25" fillId="0" borderId="0" xfId="0" applyFont="1" applyAlignment="1">
      <alignment horizontal="center" vertical="center"/>
    </xf>
    <xf numFmtId="0" fontId="25" fillId="2" borderId="7" xfId="0" applyFont="1" applyFill="1" applyBorder="1" applyAlignment="1">
      <alignment horizontal="center" vertical="center"/>
    </xf>
    <xf numFmtId="0" fontId="26" fillId="2" borderId="7" xfId="0" applyFont="1" applyFill="1" applyBorder="1" applyAlignment="1">
      <alignment horizontal="center" vertical="center"/>
    </xf>
    <xf numFmtId="0" fontId="25" fillId="2" borderId="0" xfId="0" applyFont="1" applyFill="1" applyAlignment="1">
      <alignment horizontal="center" vertical="center"/>
    </xf>
    <xf numFmtId="0" fontId="25" fillId="0" borderId="5" xfId="0" applyFont="1" applyBorder="1" applyAlignment="1">
      <alignment horizontal="center" vertical="center"/>
    </xf>
    <xf numFmtId="0" fontId="25" fillId="2" borderId="4" xfId="0" applyFont="1" applyFill="1" applyBorder="1" applyAlignment="1">
      <alignment horizontal="center" vertical="center"/>
    </xf>
    <xf numFmtId="0" fontId="25" fillId="2" borderId="5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22" fillId="0" borderId="6" xfId="31" applyBorder="1" applyAlignment="1">
      <alignment horizontal="center" vertical="center" wrapText="1"/>
    </xf>
    <xf numFmtId="0" fontId="7" fillId="6" borderId="10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27" fillId="0" borderId="7" xfId="0" applyFont="1" applyBorder="1" applyAlignment="1">
      <alignment horizontal="center" vertical="center" wrapText="1"/>
    </xf>
    <xf numFmtId="0" fontId="27" fillId="0" borderId="4" xfId="0" applyFont="1" applyBorder="1" applyAlignment="1">
      <alignment vertical="center" wrapText="1"/>
    </xf>
    <xf numFmtId="0" fontId="5" fillId="0" borderId="5" xfId="0" applyFont="1" applyBorder="1"/>
    <xf numFmtId="0" fontId="5" fillId="0" borderId="1" xfId="0" applyFont="1" applyBorder="1"/>
    <xf numFmtId="0" fontId="5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25" fillId="2" borderId="0" xfId="0" applyFont="1" applyFill="1" applyAlignment="1">
      <alignment horizontal="center" vertical="center" wrapText="1"/>
    </xf>
    <xf numFmtId="0" fontId="25" fillId="2" borderId="5" xfId="0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 vertical="center" wrapText="1"/>
    </xf>
    <xf numFmtId="0" fontId="25" fillId="2" borderId="13" xfId="0" applyFont="1" applyFill="1" applyBorder="1" applyAlignment="1">
      <alignment horizontal="center" vertical="center" wrapText="1"/>
    </xf>
    <xf numFmtId="0" fontId="25" fillId="2" borderId="14" xfId="0" applyFont="1" applyFill="1" applyBorder="1" applyAlignment="1">
      <alignment horizontal="center" vertical="center" wrapText="1"/>
    </xf>
    <xf numFmtId="0" fontId="25" fillId="2" borderId="15" xfId="0" applyFont="1" applyFill="1" applyBorder="1" applyAlignment="1">
      <alignment horizontal="center" vertical="center" wrapText="1"/>
    </xf>
    <xf numFmtId="0" fontId="25" fillId="2" borderId="16" xfId="0" applyFont="1" applyFill="1" applyBorder="1" applyAlignment="1">
      <alignment horizontal="center" vertical="center" wrapText="1"/>
    </xf>
    <xf numFmtId="0" fontId="22" fillId="0" borderId="5" xfId="3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 wrapText="1"/>
    </xf>
    <xf numFmtId="0" fontId="5" fillId="5" borderId="10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/>
    </xf>
    <xf numFmtId="0" fontId="25" fillId="0" borderId="4" xfId="0" applyFont="1" applyBorder="1" applyAlignment="1">
      <alignment vertical="center"/>
    </xf>
    <xf numFmtId="0" fontId="25" fillId="0" borderId="3" xfId="0" applyFont="1" applyBorder="1" applyAlignment="1">
      <alignment vertical="center"/>
    </xf>
    <xf numFmtId="0" fontId="25" fillId="0" borderId="2" xfId="0" applyFont="1" applyBorder="1" applyAlignment="1">
      <alignment vertical="center"/>
    </xf>
    <xf numFmtId="0" fontId="25" fillId="0" borderId="7" xfId="0" applyFont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2" fontId="9" fillId="0" borderId="0" xfId="0" applyNumberFormat="1" applyFont="1" applyAlignment="1">
      <alignment horizontal="left" vertical="center"/>
    </xf>
    <xf numFmtId="0" fontId="5" fillId="4" borderId="5" xfId="0" applyFont="1" applyFill="1" applyBorder="1" applyAlignment="1">
      <alignment horizontal="center" vertical="center" wrapText="1"/>
    </xf>
    <xf numFmtId="2" fontId="3" fillId="4" borderId="0" xfId="0" applyNumberFormat="1" applyFont="1" applyFill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vertical="center" wrapText="1"/>
    </xf>
    <xf numFmtId="2" fontId="26" fillId="2" borderId="5" xfId="0" applyNumberFormat="1" applyFont="1" applyFill="1" applyBorder="1" applyAlignment="1">
      <alignment horizontal="center" vertical="center"/>
    </xf>
    <xf numFmtId="2" fontId="26" fillId="2" borderId="0" xfId="0" applyNumberFormat="1" applyFont="1" applyFill="1" applyAlignment="1">
      <alignment horizontal="center" vertical="center"/>
    </xf>
    <xf numFmtId="2" fontId="26" fillId="2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25" fillId="0" borderId="5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3" borderId="5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right" wrapText="1"/>
    </xf>
    <xf numFmtId="0" fontId="7" fillId="4" borderId="0" xfId="0" applyFont="1" applyFill="1" applyAlignment="1">
      <alignment horizontal="right" wrapText="1"/>
    </xf>
    <xf numFmtId="0" fontId="7" fillId="2" borderId="0" xfId="0" applyFont="1" applyFill="1" applyAlignment="1">
      <alignment wrapText="1"/>
    </xf>
    <xf numFmtId="0" fontId="4" fillId="7" borderId="5" xfId="0" applyFont="1" applyFill="1" applyBorder="1" applyAlignment="1">
      <alignment horizontal="right" wrapText="1"/>
    </xf>
    <xf numFmtId="0" fontId="4" fillId="7" borderId="0" xfId="0" applyFont="1" applyFill="1" applyAlignment="1">
      <alignment horizontal="right" wrapText="1"/>
    </xf>
    <xf numFmtId="2" fontId="29" fillId="2" borderId="5" xfId="0" applyNumberFormat="1" applyFont="1" applyFill="1" applyBorder="1" applyAlignment="1">
      <alignment horizontal="center" vertical="center" wrapText="1"/>
    </xf>
    <xf numFmtId="2" fontId="29" fillId="2" borderId="0" xfId="0" applyNumberFormat="1" applyFont="1" applyFill="1" applyAlignment="1">
      <alignment horizontal="center" vertical="center" wrapText="1"/>
    </xf>
    <xf numFmtId="2" fontId="6" fillId="2" borderId="5" xfId="0" applyNumberFormat="1" applyFont="1" applyFill="1" applyBorder="1" applyAlignment="1">
      <alignment horizontal="center" vertical="center" wrapText="1"/>
    </xf>
    <xf numFmtId="2" fontId="6" fillId="2" borderId="0" xfId="0" applyNumberFormat="1" applyFont="1" applyFill="1" applyAlignment="1">
      <alignment horizontal="center" vertical="center" wrapText="1"/>
    </xf>
    <xf numFmtId="0" fontId="29" fillId="2" borderId="0" xfId="0" applyFont="1" applyFill="1" applyAlignment="1">
      <alignment horizontal="center" vertical="center" wrapText="1"/>
    </xf>
    <xf numFmtId="0" fontId="29" fillId="2" borderId="1" xfId="0" applyFont="1" applyFill="1" applyBorder="1" applyAlignment="1">
      <alignment horizontal="center" vertical="center" wrapText="1"/>
    </xf>
    <xf numFmtId="0" fontId="29" fillId="2" borderId="5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2" fontId="0" fillId="0" borderId="5" xfId="0" applyNumberFormat="1" applyBorder="1"/>
    <xf numFmtId="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29" fillId="2" borderId="0" xfId="4" applyNumberFormat="1" applyFont="1" applyFill="1" applyBorder="1" applyAlignment="1">
      <alignment horizontal="center" vertical="center" wrapText="1"/>
    </xf>
    <xf numFmtId="9" fontId="0" fillId="0" borderId="8" xfId="0" applyNumberFormat="1" applyBorder="1"/>
    <xf numFmtId="0" fontId="29" fillId="2" borderId="0" xfId="0" applyFont="1" applyFill="1" applyAlignment="1">
      <alignment horizontal="center" vertical="center"/>
    </xf>
    <xf numFmtId="9" fontId="7" fillId="5" borderId="12" xfId="2" applyFont="1" applyFill="1" applyBorder="1" applyAlignment="1">
      <alignment horizontal="center" vertical="center"/>
    </xf>
    <xf numFmtId="0" fontId="29" fillId="2" borderId="15" xfId="0" applyFont="1" applyFill="1" applyBorder="1" applyAlignment="1">
      <alignment horizontal="center" vertical="center" wrapText="1"/>
    </xf>
    <xf numFmtId="0" fontId="29" fillId="2" borderId="16" xfId="0" applyFont="1" applyFill="1" applyBorder="1" applyAlignment="1">
      <alignment horizontal="center" vertical="center" wrapText="1"/>
    </xf>
    <xf numFmtId="2" fontId="29" fillId="2" borderId="16" xfId="0" applyNumberFormat="1" applyFont="1" applyFill="1" applyBorder="1" applyAlignment="1">
      <alignment horizontal="center" vertical="center" wrapText="1"/>
    </xf>
    <xf numFmtId="2" fontId="29" fillId="2" borderId="14" xfId="0" applyNumberFormat="1" applyFont="1" applyFill="1" applyBorder="1" applyAlignment="1">
      <alignment horizontal="center" vertical="center" wrapText="1"/>
    </xf>
    <xf numFmtId="0" fontId="29" fillId="2" borderId="15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29" fillId="2" borderId="16" xfId="0" applyFont="1" applyFill="1" applyBorder="1" applyAlignment="1">
      <alignment horizontal="center" vertical="center"/>
    </xf>
    <xf numFmtId="0" fontId="29" fillId="2" borderId="13" xfId="0" applyFont="1" applyFill="1" applyBorder="1" applyAlignment="1">
      <alignment horizontal="center" vertical="center"/>
    </xf>
    <xf numFmtId="0" fontId="29" fillId="2" borderId="13" xfId="0" applyFont="1" applyFill="1" applyBorder="1" applyAlignment="1">
      <alignment horizontal="center" vertical="center" wrapText="1"/>
    </xf>
    <xf numFmtId="2" fontId="7" fillId="0" borderId="9" xfId="0" applyNumberFormat="1" applyFont="1" applyBorder="1"/>
    <xf numFmtId="2" fontId="7" fillId="0" borderId="10" xfId="0" applyNumberFormat="1" applyFont="1" applyBorder="1"/>
    <xf numFmtId="0" fontId="7" fillId="0" borderId="10" xfId="0" applyFont="1" applyBorder="1"/>
    <xf numFmtId="0" fontId="7" fillId="0" borderId="11" xfId="0" applyFont="1" applyBorder="1"/>
    <xf numFmtId="0" fontId="29" fillId="0" borderId="9" xfId="0" applyFont="1" applyBorder="1" applyAlignment="1">
      <alignment horizontal="center" vertical="center"/>
    </xf>
    <xf numFmtId="0" fontId="29" fillId="0" borderId="11" xfId="0" applyFont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31" fillId="0" borderId="0" xfId="0" applyFont="1"/>
    <xf numFmtId="0" fontId="30" fillId="0" borderId="7" xfId="0" applyFont="1" applyBorder="1" applyAlignment="1">
      <alignment horizontal="center" vertical="center"/>
    </xf>
    <xf numFmtId="0" fontId="0" fillId="3" borderId="5" xfId="0" applyFill="1" applyBorder="1"/>
    <xf numFmtId="0" fontId="0" fillId="2" borderId="0" xfId="0" applyFill="1"/>
    <xf numFmtId="0" fontId="32" fillId="2" borderId="1" xfId="0" applyFont="1" applyFill="1" applyBorder="1" applyAlignment="1">
      <alignment horizontal="left" vertical="center" indent="1"/>
    </xf>
    <xf numFmtId="0" fontId="33" fillId="2" borderId="5" xfId="0" applyFont="1" applyFill="1" applyBorder="1" applyAlignment="1">
      <alignment vertical="center"/>
    </xf>
    <xf numFmtId="0" fontId="34" fillId="2" borderId="8" xfId="0" applyFont="1" applyFill="1" applyBorder="1" applyAlignment="1">
      <alignment horizontal="center" vertical="center"/>
    </xf>
    <xf numFmtId="0" fontId="35" fillId="2" borderId="17" xfId="0" applyFont="1" applyFill="1" applyBorder="1" applyAlignment="1">
      <alignment horizontal="center" vertical="center"/>
    </xf>
    <xf numFmtId="0" fontId="12" fillId="0" borderId="5" xfId="0" applyFont="1" applyBorder="1"/>
    <xf numFmtId="0" fontId="32" fillId="0" borderId="1" xfId="0" applyFont="1" applyBorder="1"/>
    <xf numFmtId="0" fontId="1" fillId="2" borderId="0" xfId="0" applyFont="1" applyFill="1"/>
    <xf numFmtId="0" fontId="1" fillId="2" borderId="1" xfId="0" applyFont="1" applyFill="1" applyBorder="1"/>
    <xf numFmtId="0" fontId="0" fillId="3" borderId="5" xfId="0" applyFill="1" applyBorder="1" applyAlignment="1">
      <alignment horizontal="center" vertical="center"/>
    </xf>
    <xf numFmtId="0" fontId="0" fillId="4" borderId="5" xfId="0" applyFill="1" applyBorder="1"/>
    <xf numFmtId="0" fontId="37" fillId="2" borderId="1" xfId="0" applyFont="1" applyFill="1" applyBorder="1" applyAlignment="1">
      <alignment vertical="center"/>
    </xf>
    <xf numFmtId="0" fontId="1" fillId="2" borderId="5" xfId="0" applyFont="1" applyFill="1" applyBorder="1"/>
    <xf numFmtId="0" fontId="38" fillId="2" borderId="5" xfId="0" applyFont="1" applyFill="1" applyBorder="1"/>
    <xf numFmtId="0" fontId="38" fillId="2" borderId="0" xfId="0" applyFont="1" applyFill="1"/>
    <xf numFmtId="0" fontId="39" fillId="2" borderId="0" xfId="0" applyFont="1" applyFill="1" applyAlignment="1">
      <alignment vertical="center"/>
    </xf>
    <xf numFmtId="0" fontId="1" fillId="2" borderId="8" xfId="0" applyFont="1" applyFill="1" applyBorder="1" applyAlignment="1">
      <alignment horizontal="center" vertical="center"/>
    </xf>
    <xf numFmtId="0" fontId="32" fillId="2" borderId="17" xfId="0" applyFont="1" applyFill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1" xfId="0" applyBorder="1" applyAlignment="1">
      <alignment vertical="center"/>
    </xf>
    <xf numFmtId="0" fontId="22" fillId="0" borderId="0" xfId="31" applyAlignment="1">
      <alignment vertical="center" wrapText="1"/>
    </xf>
    <xf numFmtId="0" fontId="22" fillId="0" borderId="5" xfId="31" applyBorder="1" applyAlignment="1">
      <alignment vertical="center" wrapText="1"/>
    </xf>
    <xf numFmtId="0" fontId="32" fillId="0" borderId="1" xfId="0" applyFont="1" applyBorder="1" applyAlignment="1">
      <alignment vertical="center"/>
    </xf>
    <xf numFmtId="0" fontId="22" fillId="0" borderId="0" xfId="31" applyAlignment="1">
      <alignment vertical="center"/>
    </xf>
    <xf numFmtId="0" fontId="0" fillId="6" borderId="0" xfId="0" applyFill="1" applyAlignment="1">
      <alignment vertical="center" wrapText="1"/>
    </xf>
    <xf numFmtId="0" fontId="0" fillId="5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0" fillId="3" borderId="0" xfId="0" applyFill="1" applyAlignment="1">
      <alignment vertical="center" wrapText="1"/>
    </xf>
    <xf numFmtId="16" fontId="9" fillId="0" borderId="0" xfId="3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23" fillId="0" borderId="0" xfId="0" applyFont="1" applyAlignment="1">
      <alignment horizontal="center" wrapText="1"/>
    </xf>
    <xf numFmtId="0" fontId="4" fillId="0" borderId="0" xfId="0" applyFont="1" applyAlignment="1">
      <alignment horizontal="right" wrapText="1"/>
    </xf>
    <xf numFmtId="0" fontId="4" fillId="0" borderId="0" xfId="0" applyFont="1" applyAlignment="1">
      <alignment wrapText="1"/>
    </xf>
    <xf numFmtId="0" fontId="4" fillId="9" borderId="0" xfId="0" applyFont="1" applyFill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6" fillId="2" borderId="0" xfId="32" applyNumberFormat="1" applyFont="1" applyFill="1" applyBorder="1" applyAlignment="1">
      <alignment horizontal="center" vertical="center" wrapText="1"/>
    </xf>
    <xf numFmtId="0" fontId="6" fillId="2" borderId="1" xfId="32" applyNumberFormat="1" applyFont="1" applyFill="1" applyBorder="1" applyAlignment="1">
      <alignment horizontal="center" vertical="center" wrapText="1"/>
    </xf>
    <xf numFmtId="0" fontId="8" fillId="2" borderId="0" xfId="3" applyNumberFormat="1" applyFont="1" applyFill="1" applyBorder="1" applyAlignment="1">
      <alignment horizontal="center" vertical="center"/>
    </xf>
    <xf numFmtId="0" fontId="8" fillId="2" borderId="1" xfId="3" applyNumberFormat="1" applyFont="1" applyFill="1" applyBorder="1" applyAlignment="1">
      <alignment horizontal="center" vertical="center"/>
    </xf>
    <xf numFmtId="0" fontId="8" fillId="2" borderId="5" xfId="3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41" fillId="7" borderId="0" xfId="0" applyFont="1" applyFill="1" applyAlignment="1">
      <alignment horizontal="center" vertical="center"/>
    </xf>
    <xf numFmtId="2" fontId="9" fillId="0" borderId="0" xfId="3" quotePrefix="1" applyNumberFormat="1" applyFont="1" applyFill="1" applyAlignment="1">
      <alignment horizontal="left"/>
    </xf>
    <xf numFmtId="0" fontId="14" fillId="0" borderId="0" xfId="0" applyFont="1" applyAlignment="1">
      <alignment horizontal="left" vertical="top"/>
    </xf>
    <xf numFmtId="0" fontId="4" fillId="11" borderId="0" xfId="0" applyFont="1" applyFill="1" applyAlignment="1">
      <alignment horizontal="right" wrapText="1"/>
    </xf>
    <xf numFmtId="0" fontId="4" fillId="0" borderId="0" xfId="0" applyFont="1" applyAlignment="1">
      <alignment horizontal="center" vertical="top"/>
    </xf>
    <xf numFmtId="2" fontId="9" fillId="0" borderId="0" xfId="3" quotePrefix="1" applyNumberFormat="1" applyFont="1" applyAlignment="1">
      <alignment horizontal="left"/>
    </xf>
    <xf numFmtId="0" fontId="14" fillId="0" borderId="8" xfId="0" applyFont="1" applyBorder="1" applyAlignment="1">
      <alignment horizontal="left" vertical="top"/>
    </xf>
    <xf numFmtId="2" fontId="41" fillId="0" borderId="0" xfId="3" quotePrefix="1" applyNumberFormat="1" applyFont="1" applyAlignment="1">
      <alignment horizontal="left"/>
    </xf>
    <xf numFmtId="0" fontId="0" fillId="7" borderId="8" xfId="0" applyFill="1" applyBorder="1"/>
    <xf numFmtId="0" fontId="14" fillId="8" borderId="0" xfId="0" applyFont="1" applyFill="1" applyAlignment="1">
      <alignment horizontal="left" vertical="top"/>
    </xf>
    <xf numFmtId="0" fontId="13" fillId="2" borderId="0" xfId="0" applyFont="1" applyFill="1" applyAlignment="1">
      <alignment horizontal="center" vertical="center" wrapText="1"/>
    </xf>
    <xf numFmtId="0" fontId="28" fillId="0" borderId="0" xfId="0" applyFont="1" applyAlignment="1">
      <alignment horizontal="center" vertical="center"/>
    </xf>
    <xf numFmtId="0" fontId="13" fillId="12" borderId="0" xfId="0" applyFont="1" applyFill="1" applyAlignment="1">
      <alignment horizontal="center" vertical="center" wrapText="1"/>
    </xf>
    <xf numFmtId="2" fontId="0" fillId="13" borderId="18" xfId="0" applyNumberFormat="1" applyFill="1" applyBorder="1"/>
    <xf numFmtId="2" fontId="0" fillId="0" borderId="18" xfId="0" applyNumberFormat="1" applyBorder="1"/>
    <xf numFmtId="0" fontId="0" fillId="0" borderId="0" xfId="0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0" fillId="14" borderId="0" xfId="0" applyFill="1"/>
    <xf numFmtId="0" fontId="5" fillId="0" borderId="0" xfId="0" applyFont="1"/>
    <xf numFmtId="9" fontId="0" fillId="0" borderId="0" xfId="0" applyNumberFormat="1"/>
    <xf numFmtId="0" fontId="13" fillId="0" borderId="0" xfId="0" applyFont="1" applyAlignment="1">
      <alignment wrapText="1"/>
    </xf>
    <xf numFmtId="0" fontId="23" fillId="0" borderId="0" xfId="0" applyFont="1" applyAlignment="1">
      <alignment horizontal="right" wrapText="1"/>
    </xf>
    <xf numFmtId="0" fontId="0" fillId="9" borderId="0" xfId="0" applyFill="1"/>
    <xf numFmtId="0" fontId="0" fillId="15" borderId="0" xfId="0" applyFill="1"/>
    <xf numFmtId="0" fontId="0" fillId="8" borderId="0" xfId="0" applyFill="1"/>
    <xf numFmtId="0" fontId="14" fillId="15" borderId="0" xfId="0" applyFont="1" applyFill="1"/>
    <xf numFmtId="0" fontId="5" fillId="0" borderId="19" xfId="0" applyFont="1" applyBorder="1" applyAlignment="1">
      <alignment wrapText="1"/>
    </xf>
    <xf numFmtId="0" fontId="23" fillId="0" borderId="0" xfId="0" applyFont="1" applyAlignment="1">
      <alignment wrapText="1"/>
    </xf>
    <xf numFmtId="0" fontId="42" fillId="0" borderId="0" xfId="0" applyFont="1"/>
    <xf numFmtId="0" fontId="14" fillId="0" borderId="0" xfId="0" applyFont="1"/>
    <xf numFmtId="0" fontId="0" fillId="0" borderId="20" xfId="0" applyBorder="1"/>
    <xf numFmtId="0" fontId="13" fillId="0" borderId="20" xfId="0" applyFont="1" applyBorder="1" applyAlignment="1">
      <alignment horizontal="center" vertical="center" wrapText="1"/>
    </xf>
    <xf numFmtId="0" fontId="40" fillId="0" borderId="0" xfId="0" applyFont="1"/>
    <xf numFmtId="0" fontId="40" fillId="0" borderId="0" xfId="0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3" fillId="0" borderId="0" xfId="0" applyFont="1"/>
    <xf numFmtId="0" fontId="25" fillId="2" borderId="0" xfId="0" quotePrefix="1" applyFont="1" applyFill="1" applyAlignment="1">
      <alignment horizontal="center" vertical="center" wrapText="1"/>
    </xf>
    <xf numFmtId="0" fontId="25" fillId="2" borderId="5" xfId="0" quotePrefix="1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16" borderId="0" xfId="0" applyFont="1" applyFill="1" applyAlignment="1">
      <alignment horizontal="center" vertical="center"/>
    </xf>
    <xf numFmtId="0" fontId="17" fillId="0" borderId="0" xfId="0" applyFont="1"/>
    <xf numFmtId="0" fontId="17" fillId="17" borderId="0" xfId="0" applyFont="1" applyFill="1" applyAlignment="1">
      <alignment horizontal="right" vertical="top" wrapText="1"/>
    </xf>
    <xf numFmtId="0" fontId="5" fillId="3" borderId="0" xfId="0" applyFont="1" applyFill="1" applyAlignment="1">
      <alignment horizontal="center" vertical="center"/>
    </xf>
    <xf numFmtId="0" fontId="41" fillId="0" borderId="0" xfId="0" applyFont="1" applyAlignment="1">
      <alignment horizontal="center" vertical="top"/>
    </xf>
    <xf numFmtId="1" fontId="0" fillId="0" borderId="0" xfId="0" applyNumberFormat="1"/>
    <xf numFmtId="0" fontId="0" fillId="0" borderId="0" xfId="0" applyAlignment="1">
      <alignment horizontal="center" vertical="top"/>
    </xf>
    <xf numFmtId="0" fontId="0" fillId="18" borderId="0" xfId="0" applyFill="1"/>
    <xf numFmtId="0" fontId="12" fillId="0" borderId="1" xfId="3" applyNumberFormat="1" applyFont="1" applyFill="1" applyBorder="1" applyAlignment="1">
      <alignment horizontal="center"/>
    </xf>
    <xf numFmtId="0" fontId="15" fillId="2" borderId="1" xfId="3" applyNumberFormat="1" applyFont="1" applyFill="1" applyBorder="1" applyAlignment="1">
      <alignment horizontal="center" vertical="center" wrapText="1"/>
    </xf>
    <xf numFmtId="0" fontId="0" fillId="0" borderId="21" xfId="0" applyBorder="1" applyAlignment="1">
      <alignment horizontal="left" vertical="center" wrapText="1"/>
    </xf>
    <xf numFmtId="2" fontId="12" fillId="0" borderId="22" xfId="3" quotePrefix="1" applyNumberFormat="1" applyBorder="1" applyAlignment="1">
      <alignment horizontal="left"/>
    </xf>
    <xf numFmtId="0" fontId="0" fillId="0" borderId="23" xfId="0" applyBorder="1" applyAlignment="1">
      <alignment horizontal="left" vertical="center" wrapText="1"/>
    </xf>
    <xf numFmtId="2" fontId="12" fillId="0" borderId="0" xfId="3" quotePrefix="1" applyNumberFormat="1" applyBorder="1" applyAlignment="1">
      <alignment horizontal="left"/>
    </xf>
    <xf numFmtId="2" fontId="12" fillId="0" borderId="24" xfId="3" quotePrefix="1" applyNumberFormat="1" applyBorder="1" applyAlignment="1">
      <alignment horizontal="left"/>
    </xf>
    <xf numFmtId="0" fontId="0" fillId="19" borderId="0" xfId="0" applyFill="1"/>
    <xf numFmtId="2" fontId="12" fillId="19" borderId="22" xfId="3" quotePrefix="1" applyNumberFormat="1" applyFill="1" applyBorder="1" applyAlignment="1">
      <alignment horizontal="left"/>
    </xf>
    <xf numFmtId="16" fontId="12" fillId="19" borderId="0" xfId="3" applyNumberFormat="1" applyFont="1" applyFill="1" applyBorder="1" applyAlignment="1">
      <alignment horizontal="left"/>
    </xf>
    <xf numFmtId="2" fontId="12" fillId="19" borderId="0" xfId="3" quotePrefix="1" applyNumberFormat="1" applyFill="1" applyBorder="1" applyAlignment="1">
      <alignment horizontal="left"/>
    </xf>
    <xf numFmtId="0" fontId="0" fillId="20" borderId="0" xfId="0" applyFill="1"/>
    <xf numFmtId="2" fontId="12" fillId="19" borderId="24" xfId="3" quotePrefix="1" applyNumberFormat="1" applyFill="1" applyBorder="1" applyAlignment="1">
      <alignment horizontal="left"/>
    </xf>
    <xf numFmtId="0" fontId="0" fillId="21" borderId="0" xfId="0" applyFill="1"/>
    <xf numFmtId="2" fontId="12" fillId="9" borderId="22" xfId="3" quotePrefix="1" applyNumberFormat="1" applyFill="1" applyBorder="1" applyAlignment="1">
      <alignment horizontal="left"/>
    </xf>
    <xf numFmtId="16" fontId="12" fillId="9" borderId="0" xfId="3" applyNumberFormat="1" applyFont="1" applyFill="1" applyBorder="1" applyAlignment="1">
      <alignment horizontal="left"/>
    </xf>
    <xf numFmtId="2" fontId="12" fillId="9" borderId="0" xfId="3" quotePrefix="1" applyNumberFormat="1" applyFill="1" applyBorder="1" applyAlignment="1">
      <alignment horizontal="left"/>
    </xf>
    <xf numFmtId="0" fontId="12" fillId="9" borderId="0" xfId="3" applyNumberFormat="1" applyFont="1" applyFill="1" applyBorder="1" applyAlignment="1">
      <alignment horizontal="left"/>
    </xf>
    <xf numFmtId="2" fontId="12" fillId="9" borderId="24" xfId="3" quotePrefix="1" applyNumberFormat="1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5" fillId="0" borderId="2" xfId="3" applyNumberFormat="1" applyFont="1" applyFill="1" applyBorder="1" applyAlignment="1">
      <alignment horizontal="center" vertical="center" wrapText="1"/>
    </xf>
    <xf numFmtId="0" fontId="15" fillId="0" borderId="3" xfId="3" applyNumberFormat="1" applyFont="1" applyFill="1" applyBorder="1" applyAlignment="1">
      <alignment horizontal="center" vertical="center" wrapText="1"/>
    </xf>
    <xf numFmtId="0" fontId="15" fillId="0" borderId="4" xfId="3" applyNumberFormat="1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4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 wrapText="1"/>
    </xf>
    <xf numFmtId="0" fontId="27" fillId="0" borderId="4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0" fontId="25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0" fillId="0" borderId="2" xfId="0" applyFont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30" fillId="0" borderId="4" xfId="0" applyFont="1" applyBorder="1" applyAlignment="1">
      <alignment horizontal="center"/>
    </xf>
    <xf numFmtId="0" fontId="30" fillId="0" borderId="2" xfId="0" applyFont="1" applyBorder="1" applyAlignment="1">
      <alignment horizontal="center" vertical="center"/>
    </xf>
    <xf numFmtId="0" fontId="30" fillId="0" borderId="4" xfId="0" applyFont="1" applyBorder="1" applyAlignment="1">
      <alignment horizontal="center" vertical="center"/>
    </xf>
    <xf numFmtId="0" fontId="30" fillId="0" borderId="3" xfId="0" applyFont="1" applyBorder="1" applyAlignment="1">
      <alignment horizontal="center" vertical="center"/>
    </xf>
    <xf numFmtId="0" fontId="36" fillId="0" borderId="2" xfId="0" applyFont="1" applyBorder="1" applyAlignment="1">
      <alignment horizontal="center"/>
    </xf>
    <xf numFmtId="0" fontId="36" fillId="0" borderId="3" xfId="0" applyFont="1" applyBorder="1" applyAlignment="1">
      <alignment horizontal="center"/>
    </xf>
    <xf numFmtId="0" fontId="36" fillId="0" borderId="4" xfId="0" applyFont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2" fillId="0" borderId="5" xfId="0" applyFont="1" applyBorder="1" applyAlignment="1">
      <alignment horizontal="center" vertical="center"/>
    </xf>
    <xf numFmtId="0" fontId="36" fillId="0" borderId="2" xfId="0" applyFont="1" applyBorder="1" applyAlignment="1">
      <alignment horizontal="center" vertical="center" wrapText="1"/>
    </xf>
    <xf numFmtId="0" fontId="36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27" fillId="0" borderId="0" xfId="0" applyFont="1" applyAlignment="1">
      <alignment horizontal="center"/>
    </xf>
  </cellXfs>
  <cellStyles count="33">
    <cellStyle name="Answer Codes" xfId="5" xr:uid="{CDC177B9-7481-476F-B0CF-E80471ED5953}"/>
    <cellStyle name="Comma 2" xfId="26" xr:uid="{82553DE9-96DB-42FE-8142-FF59BD231BA9}"/>
    <cellStyle name="Comma 3" xfId="27" xr:uid="{B51FDE18-0F1B-4272-A7DF-89E810307E63}"/>
    <cellStyle name="Comma 4" xfId="28" xr:uid="{05AA7412-5849-4647-BC20-B0193C7D4EE0}"/>
    <cellStyle name="Comma 4 2" xfId="29" xr:uid="{D04CE300-7823-46A6-AB69-4B3F6E5F4AD9}"/>
    <cellStyle name="Lien hypertexte" xfId="31" builtinId="8"/>
    <cellStyle name="Millares 2" xfId="4" xr:uid="{B6595228-8237-46CA-98C0-8F482F91A751}"/>
    <cellStyle name="Millares 2 2" xfId="32" xr:uid="{381A2735-B25C-4617-9CD4-F05ED9DE8426}"/>
    <cellStyle name="Normal" xfId="0" builtinId="0"/>
    <cellStyle name="Normal 10" xfId="6" xr:uid="{EB99971A-7FC3-436D-A574-FE4FA83A4A40}"/>
    <cellStyle name="Normal 10 2" xfId="7" xr:uid="{C35EA4D9-7699-4A42-A863-520EEAF80825}"/>
    <cellStyle name="Normal 11" xfId="30" xr:uid="{DFA3E07E-F14B-496F-8FCD-CFF647091EC4}"/>
    <cellStyle name="Normal 11 2" xfId="3" xr:uid="{CCBA72A2-42D5-415D-84D4-3DE18AF7E75B}"/>
    <cellStyle name="Normal 2" xfId="8" xr:uid="{5923608E-0C22-4BD5-8F46-556FB18166F6}"/>
    <cellStyle name="Normal 2 2" xfId="9" xr:uid="{07B07814-8439-462A-B1D6-F855B747F970}"/>
    <cellStyle name="Normal 3" xfId="10" xr:uid="{04FF01C0-804F-415C-901C-31895D427396}"/>
    <cellStyle name="Normal 3 2" xfId="11" xr:uid="{C0DE5B1F-E6EB-4B24-A65D-99F1B8076444}"/>
    <cellStyle name="Normal 3 2 2" xfId="12" xr:uid="{8DE78BFC-A078-4946-B85B-6AD581EE463D}"/>
    <cellStyle name="Normal 3 3" xfId="13" xr:uid="{03B5C6EC-CBB7-4D73-9C77-E5FA1A444A39}"/>
    <cellStyle name="Normal 3 3 2" xfId="14" xr:uid="{7887E389-4ECE-4C4F-9D4B-F22774DA0515}"/>
    <cellStyle name="Normal 3 4" xfId="15" xr:uid="{CABB8668-1B82-4A2D-AB02-82EBFC3CF1D9}"/>
    <cellStyle name="Normal 3 5" xfId="16" xr:uid="{E6405FF1-9441-47AD-8CC1-0AECD4901C87}"/>
    <cellStyle name="Normal 4" xfId="17" xr:uid="{A1B7284D-C312-4D4B-9B03-2E3747CFE9AD}"/>
    <cellStyle name="Normal 4 2" xfId="18" xr:uid="{D63D26FB-0BC2-42B2-8005-878C4B3FC2B4}"/>
    <cellStyle name="Normal 4 3" xfId="19" xr:uid="{42AFEB3E-6256-4C1D-B0D6-B96283626503}"/>
    <cellStyle name="Normal 5" xfId="20" xr:uid="{F2C9FEE0-7B6E-4DEA-9BDA-CF0C2CF3B714}"/>
    <cellStyle name="Normal 6" xfId="21" xr:uid="{98E8BF63-A783-4D6B-A2D0-8F1A225C4D39}"/>
    <cellStyle name="Normal 6 2" xfId="22" xr:uid="{11BA580E-EA3A-4682-9C02-AC058396B636}"/>
    <cellStyle name="Normal 7" xfId="23" xr:uid="{C81C068B-DDEE-4553-88F9-6025025EAD80}"/>
    <cellStyle name="Normal 8" xfId="24" xr:uid="{8F30C7BF-C4F4-40B4-B22F-55681ADA1027}"/>
    <cellStyle name="Normal 9" xfId="25" xr:uid="{5E77BE0F-6033-4F2D-9E9C-1C7DEAD13EEC}"/>
    <cellStyle name="Pourcentage" xfId="2" builtinId="5"/>
    <cellStyle name="Standard_Crops" xfId="1" xr:uid="{96537124-E63A-4F53-A38D-FB0CA5C127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soilgrids.org/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eedipedia.org/" TargetMode="External"/><Relationship Id="rId2" Type="http://schemas.openxmlformats.org/officeDocument/2006/relationships/hyperlink" Target="https://www.feedipedia.org/" TargetMode="External"/><Relationship Id="rId1" Type="http://schemas.openxmlformats.org/officeDocument/2006/relationships/hyperlink" Target="https://www.feedipedia.org/" TargetMode="External"/><Relationship Id="rId4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5.bin"/><Relationship Id="rId3" Type="http://schemas.openxmlformats.org/officeDocument/2006/relationships/hyperlink" Target="https://www.fao.org/4/x0490e/x0490e0b.htm" TargetMode="External"/><Relationship Id="rId7" Type="http://schemas.openxmlformats.org/officeDocument/2006/relationships/hyperlink" Target="https://extension.sdstate.edu/how-soil-holds-water" TargetMode="External"/><Relationship Id="rId2" Type="http://schemas.openxmlformats.org/officeDocument/2006/relationships/hyperlink" Target="https://cds.climate.copernicus.eu/datasets/projections-cmip6?tab=overview" TargetMode="External"/><Relationship Id="rId1" Type="http://schemas.openxmlformats.org/officeDocument/2006/relationships/hyperlink" Target="https://cds.climate.copernicus.eu/datasets/projections-cmip6?tab=overview" TargetMode="External"/><Relationship Id="rId6" Type="http://schemas.openxmlformats.org/officeDocument/2006/relationships/hyperlink" Target="https://www.fao.org/4/i2800e/i2800e.pdf" TargetMode="External"/><Relationship Id="rId5" Type="http://schemas.openxmlformats.org/officeDocument/2006/relationships/hyperlink" Target="https://www.fao.org/4/x0490e/x0490e0e.htm" TargetMode="External"/><Relationship Id="rId4" Type="http://schemas.openxmlformats.org/officeDocument/2006/relationships/hyperlink" Target="https://www.fao.org/4/x0490e/x0490e0e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2B5B9-4695-44AC-980C-F6E526E71210}">
  <dimension ref="A1:Z422"/>
  <sheetViews>
    <sheetView tabSelected="1" zoomScale="86" workbookViewId="0">
      <selection activeCell="M4" sqref="M4:M8"/>
    </sheetView>
  </sheetViews>
  <sheetFormatPr baseColWidth="10" defaultColWidth="11.5546875" defaultRowHeight="14.4" x14ac:dyDescent="0.3"/>
  <cols>
    <col min="1" max="2" width="15.33203125" style="76" customWidth="1"/>
    <col min="3" max="3" width="13.88671875" style="76" bestFit="1" customWidth="1"/>
    <col min="4" max="5" width="15.33203125" style="76" customWidth="1"/>
    <col min="6" max="7" width="11.5546875" style="76"/>
    <col min="8" max="8" width="10.88671875" style="76" customWidth="1"/>
    <col min="9" max="9" width="17.109375" style="76" customWidth="1"/>
    <col min="10" max="10" width="12.44140625" style="76" customWidth="1"/>
    <col min="11" max="11" width="15.33203125" style="76" customWidth="1"/>
    <col min="12" max="17" width="11.5546875" style="76"/>
    <col min="18" max="18" width="16" style="75" customWidth="1"/>
    <col min="19" max="19" width="21.6640625" style="74" customWidth="1"/>
    <col min="20" max="20" width="11.5546875" style="75"/>
    <col min="21" max="21" width="16.33203125" style="73" customWidth="1"/>
    <col min="22" max="22" width="11.5546875" style="75"/>
    <col min="23" max="23" width="11.5546875" style="74"/>
    <col min="24" max="25" width="11.5546875" style="73"/>
    <col min="26" max="26" width="11.5546875" style="74"/>
    <col min="27" max="16384" width="11.5546875" style="73"/>
  </cols>
  <sheetData>
    <row r="1" spans="1:26" s="113" customFormat="1" ht="43.2" x14ac:dyDescent="0.3">
      <c r="A1" s="114" t="s">
        <v>251</v>
      </c>
      <c r="B1" s="114" t="s">
        <v>250</v>
      </c>
      <c r="C1" s="114" t="s">
        <v>249</v>
      </c>
      <c r="D1" s="114" t="s">
        <v>248</v>
      </c>
      <c r="E1" s="114" t="s">
        <v>247</v>
      </c>
      <c r="F1" s="114" t="s">
        <v>246</v>
      </c>
      <c r="G1" s="114" t="s">
        <v>245</v>
      </c>
      <c r="H1" s="114" t="s">
        <v>244</v>
      </c>
      <c r="I1" s="114" t="s">
        <v>243</v>
      </c>
      <c r="J1" s="114" t="s">
        <v>242</v>
      </c>
      <c r="K1" s="114" t="s">
        <v>241</v>
      </c>
      <c r="L1" s="114" t="s">
        <v>240</v>
      </c>
      <c r="M1" s="114" t="s">
        <v>239</v>
      </c>
      <c r="N1" s="114" t="s">
        <v>238</v>
      </c>
      <c r="O1" s="114" t="s">
        <v>236</v>
      </c>
      <c r="P1" s="114" t="s">
        <v>237</v>
      </c>
      <c r="Q1" s="114" t="s">
        <v>236</v>
      </c>
      <c r="R1" s="397" t="s">
        <v>235</v>
      </c>
      <c r="S1" s="398"/>
      <c r="T1" s="397" t="s">
        <v>234</v>
      </c>
      <c r="U1" s="398"/>
      <c r="V1" s="397" t="s">
        <v>233</v>
      </c>
      <c r="W1" s="398"/>
      <c r="X1" s="399" t="s">
        <v>232</v>
      </c>
      <c r="Y1" s="400"/>
      <c r="Z1" s="401"/>
    </row>
    <row r="2" spans="1:26" ht="31.2" x14ac:dyDescent="0.3">
      <c r="A2" s="112" t="s">
        <v>88</v>
      </c>
      <c r="B2" s="111" t="s">
        <v>89</v>
      </c>
      <c r="C2" s="110" t="s">
        <v>90</v>
      </c>
      <c r="D2" s="109" t="s">
        <v>91</v>
      </c>
      <c r="E2" s="108" t="s">
        <v>92</v>
      </c>
      <c r="U2" s="74"/>
      <c r="X2" s="377"/>
      <c r="Y2" s="80"/>
      <c r="Z2" s="107"/>
    </row>
    <row r="3" spans="1:26" s="101" customFormat="1" ht="43.2" x14ac:dyDescent="0.3">
      <c r="A3" s="106" t="s">
        <v>231</v>
      </c>
      <c r="B3" s="106" t="s">
        <v>230</v>
      </c>
      <c r="C3" s="106" t="s">
        <v>229</v>
      </c>
      <c r="D3" s="106" t="s">
        <v>228</v>
      </c>
      <c r="E3" s="106" t="s">
        <v>227</v>
      </c>
      <c r="F3" s="106" t="s">
        <v>226</v>
      </c>
      <c r="G3" s="106" t="s">
        <v>225</v>
      </c>
      <c r="H3" s="106" t="s">
        <v>224</v>
      </c>
      <c r="I3" s="106" t="s">
        <v>223</v>
      </c>
      <c r="J3" s="106" t="s">
        <v>222</v>
      </c>
      <c r="K3" s="106" t="s">
        <v>221</v>
      </c>
      <c r="L3" s="106" t="s">
        <v>220</v>
      </c>
      <c r="M3" s="106" t="s">
        <v>219</v>
      </c>
      <c r="N3" s="106" t="s">
        <v>218</v>
      </c>
      <c r="O3" s="106" t="s">
        <v>216</v>
      </c>
      <c r="P3" s="106" t="s">
        <v>217</v>
      </c>
      <c r="Q3" s="106" t="s">
        <v>216</v>
      </c>
      <c r="R3" s="105" t="s">
        <v>215</v>
      </c>
      <c r="S3" s="104" t="s">
        <v>214</v>
      </c>
      <c r="T3" s="105" t="s">
        <v>214</v>
      </c>
      <c r="U3" s="104" t="s">
        <v>213</v>
      </c>
      <c r="V3" s="105" t="s">
        <v>212</v>
      </c>
      <c r="W3" s="104" t="s">
        <v>211</v>
      </c>
      <c r="X3" s="378" t="s">
        <v>19</v>
      </c>
      <c r="Y3" s="103" t="s">
        <v>210</v>
      </c>
      <c r="Z3" s="102" t="s">
        <v>209</v>
      </c>
    </row>
    <row r="4" spans="1:26" ht="15" thickBot="1" x14ac:dyDescent="0.35">
      <c r="A4" s="84">
        <v>1960</v>
      </c>
      <c r="B4" s="84" t="s">
        <v>208</v>
      </c>
      <c r="C4" s="134" t="s">
        <v>591</v>
      </c>
      <c r="D4" s="94" t="s">
        <v>207</v>
      </c>
      <c r="E4" s="100" t="s">
        <v>190</v>
      </c>
      <c r="F4" s="98" t="s">
        <v>7</v>
      </c>
      <c r="G4" s="98" t="s">
        <v>95</v>
      </c>
      <c r="H4" s="134" t="s">
        <v>606</v>
      </c>
      <c r="I4" s="134" t="s">
        <v>75</v>
      </c>
      <c r="J4" s="134" t="s">
        <v>630</v>
      </c>
      <c r="K4" s="98" t="s">
        <v>205</v>
      </c>
      <c r="L4" s="100" t="s">
        <v>631</v>
      </c>
      <c r="M4" s="94" t="s">
        <v>15</v>
      </c>
      <c r="N4" s="98" t="s">
        <v>204</v>
      </c>
      <c r="O4" s="84" t="s">
        <v>203</v>
      </c>
      <c r="P4" s="84" t="s">
        <v>202</v>
      </c>
      <c r="Q4" s="84" t="s">
        <v>201</v>
      </c>
      <c r="R4" s="134" t="s">
        <v>591</v>
      </c>
      <c r="S4" s="134" t="s">
        <v>606</v>
      </c>
      <c r="T4" s="134" t="s">
        <v>606</v>
      </c>
      <c r="U4" s="379" t="s">
        <v>632</v>
      </c>
      <c r="V4" s="134" t="s">
        <v>591</v>
      </c>
      <c r="W4" s="134" t="s">
        <v>591</v>
      </c>
      <c r="X4" s="134" t="s">
        <v>591</v>
      </c>
      <c r="Y4" s="380" t="s">
        <v>201</v>
      </c>
      <c r="Z4" s="88" t="s">
        <v>160</v>
      </c>
    </row>
    <row r="5" spans="1:26" ht="15" thickBot="1" x14ac:dyDescent="0.35">
      <c r="A5" s="84">
        <v>1961</v>
      </c>
      <c r="B5" s="84" t="s">
        <v>200</v>
      </c>
      <c r="C5" s="134" t="s">
        <v>603</v>
      </c>
      <c r="D5" s="94" t="s">
        <v>199</v>
      </c>
      <c r="E5" s="100" t="s">
        <v>206</v>
      </c>
      <c r="F5" s="98" t="s">
        <v>96</v>
      </c>
      <c r="G5" s="98" t="s">
        <v>48</v>
      </c>
      <c r="H5" s="134" t="s">
        <v>607</v>
      </c>
      <c r="I5" s="134" t="s">
        <v>77</v>
      </c>
      <c r="J5" s="97" t="s">
        <v>632</v>
      </c>
      <c r="K5" s="98" t="s">
        <v>197</v>
      </c>
      <c r="M5" s="94" t="s">
        <v>16</v>
      </c>
      <c r="N5" s="98" t="s">
        <v>196</v>
      </c>
      <c r="O5" s="84" t="s">
        <v>195</v>
      </c>
      <c r="P5" s="84" t="s">
        <v>194</v>
      </c>
      <c r="Q5" s="84" t="s">
        <v>193</v>
      </c>
      <c r="R5" s="134" t="s">
        <v>603</v>
      </c>
      <c r="S5" s="134" t="s">
        <v>607</v>
      </c>
      <c r="T5" s="134" t="s">
        <v>607</v>
      </c>
      <c r="U5" s="381" t="s">
        <v>633</v>
      </c>
      <c r="V5" s="134" t="s">
        <v>591</v>
      </c>
      <c r="W5" s="134" t="s">
        <v>597</v>
      </c>
      <c r="X5" s="134" t="s">
        <v>591</v>
      </c>
      <c r="Y5" s="382" t="s">
        <v>193</v>
      </c>
      <c r="Z5" s="88"/>
    </row>
    <row r="6" spans="1:26" ht="15" thickBot="1" x14ac:dyDescent="0.35">
      <c r="A6" s="84">
        <v>1962</v>
      </c>
      <c r="B6" s="84" t="s">
        <v>192</v>
      </c>
      <c r="C6" s="134" t="s">
        <v>604</v>
      </c>
      <c r="D6" s="134"/>
      <c r="E6" s="99" t="s">
        <v>198</v>
      </c>
      <c r="F6" s="84" t="s">
        <v>189</v>
      </c>
      <c r="G6" s="98" t="s">
        <v>50</v>
      </c>
      <c r="H6" s="134" t="s">
        <v>609</v>
      </c>
      <c r="I6" s="134" t="s">
        <v>180</v>
      </c>
      <c r="J6" s="134" t="s">
        <v>634</v>
      </c>
      <c r="K6" s="98" t="s">
        <v>188</v>
      </c>
      <c r="M6" s="94" t="s">
        <v>256</v>
      </c>
      <c r="N6" s="98" t="s">
        <v>187</v>
      </c>
      <c r="P6" s="84" t="s">
        <v>186</v>
      </c>
      <c r="Q6" s="84" t="s">
        <v>185</v>
      </c>
      <c r="R6" s="134" t="s">
        <v>604</v>
      </c>
      <c r="S6" s="134" t="s">
        <v>609</v>
      </c>
      <c r="T6" s="134" t="s">
        <v>609</v>
      </c>
      <c r="U6" s="381" t="s">
        <v>635</v>
      </c>
      <c r="V6" s="134" t="s">
        <v>591</v>
      </c>
      <c r="W6" s="134" t="s">
        <v>593</v>
      </c>
      <c r="X6" s="134" t="s">
        <v>591</v>
      </c>
      <c r="Y6" s="382" t="s">
        <v>185</v>
      </c>
      <c r="Z6" s="88"/>
    </row>
    <row r="7" spans="1:26" ht="15" thickBot="1" x14ac:dyDescent="0.35">
      <c r="A7" s="84">
        <v>1963</v>
      </c>
      <c r="B7" s="84" t="s">
        <v>184</v>
      </c>
      <c r="C7" s="134" t="s">
        <v>597</v>
      </c>
      <c r="E7" s="90"/>
      <c r="F7" s="84" t="s">
        <v>56</v>
      </c>
      <c r="H7" s="134" t="s">
        <v>610</v>
      </c>
      <c r="I7" s="97" t="s">
        <v>85</v>
      </c>
      <c r="J7" s="134" t="s">
        <v>106</v>
      </c>
      <c r="K7" s="98" t="s">
        <v>183</v>
      </c>
      <c r="M7" s="94" t="s">
        <v>255</v>
      </c>
      <c r="N7" s="98" t="s">
        <v>182</v>
      </c>
      <c r="Q7" s="84" t="s">
        <v>181</v>
      </c>
      <c r="R7" s="134" t="s">
        <v>597</v>
      </c>
      <c r="S7" s="134" t="s">
        <v>610</v>
      </c>
      <c r="T7" s="134" t="s">
        <v>610</v>
      </c>
      <c r="U7" s="381" t="s">
        <v>636</v>
      </c>
      <c r="V7" s="134" t="s">
        <v>591</v>
      </c>
      <c r="W7" s="134" t="s">
        <v>595</v>
      </c>
      <c r="X7" s="134" t="s">
        <v>591</v>
      </c>
      <c r="Y7" s="382" t="s">
        <v>181</v>
      </c>
      <c r="Z7" s="88" t="s">
        <v>162</v>
      </c>
    </row>
    <row r="8" spans="1:26" ht="15" thickBot="1" x14ac:dyDescent="0.35">
      <c r="A8" s="84">
        <v>1964</v>
      </c>
      <c r="B8" s="84" t="s">
        <v>179</v>
      </c>
      <c r="C8" s="134" t="s">
        <v>598</v>
      </c>
      <c r="E8" s="90"/>
      <c r="H8" s="134" t="s">
        <v>612</v>
      </c>
      <c r="I8" s="97" t="s">
        <v>78</v>
      </c>
      <c r="J8" s="206" t="s">
        <v>624</v>
      </c>
      <c r="M8" s="94" t="s">
        <v>588</v>
      </c>
      <c r="N8" s="98" t="s">
        <v>178</v>
      </c>
      <c r="Q8" s="84" t="s">
        <v>177</v>
      </c>
      <c r="R8" s="134" t="s">
        <v>598</v>
      </c>
      <c r="S8" s="134" t="s">
        <v>612</v>
      </c>
      <c r="T8" s="134" t="s">
        <v>612</v>
      </c>
      <c r="U8" s="381" t="s">
        <v>637</v>
      </c>
      <c r="V8" s="134" t="s">
        <v>591</v>
      </c>
      <c r="W8" s="134" t="s">
        <v>590</v>
      </c>
      <c r="X8" s="134" t="s">
        <v>591</v>
      </c>
      <c r="Y8" s="382" t="s">
        <v>177</v>
      </c>
      <c r="Z8" s="88" t="s">
        <v>162</v>
      </c>
    </row>
    <row r="9" spans="1:26" ht="15" thickBot="1" x14ac:dyDescent="0.35">
      <c r="A9" s="84">
        <v>1965</v>
      </c>
      <c r="B9" s="84" t="s">
        <v>176</v>
      </c>
      <c r="C9" s="134" t="s">
        <v>593</v>
      </c>
      <c r="E9" s="90"/>
      <c r="H9" s="134" t="s">
        <v>112</v>
      </c>
      <c r="I9" s="97" t="s">
        <v>86</v>
      </c>
      <c r="Q9" s="84" t="s">
        <v>175</v>
      </c>
      <c r="R9" s="134" t="s">
        <v>593</v>
      </c>
      <c r="S9" s="134" t="s">
        <v>112</v>
      </c>
      <c r="T9" s="134" t="s">
        <v>112</v>
      </c>
      <c r="U9" s="381" t="s">
        <v>107</v>
      </c>
      <c r="V9" s="134" t="s">
        <v>591</v>
      </c>
      <c r="W9" s="134" t="s">
        <v>602</v>
      </c>
      <c r="X9" s="134" t="s">
        <v>591</v>
      </c>
      <c r="Y9" s="382" t="s">
        <v>175</v>
      </c>
      <c r="Z9" s="88" t="s">
        <v>161</v>
      </c>
    </row>
    <row r="10" spans="1:26" ht="15" thickBot="1" x14ac:dyDescent="0.35">
      <c r="A10" s="84">
        <v>1966</v>
      </c>
      <c r="B10" s="84" t="s">
        <v>174</v>
      </c>
      <c r="C10" s="134" t="s">
        <v>595</v>
      </c>
      <c r="E10" s="90"/>
      <c r="H10" s="134" t="s">
        <v>613</v>
      </c>
      <c r="I10" s="134" t="s">
        <v>25</v>
      </c>
      <c r="K10" s="90"/>
      <c r="Q10" s="84" t="s">
        <v>173</v>
      </c>
      <c r="R10" s="134" t="s">
        <v>595</v>
      </c>
      <c r="S10" s="134" t="s">
        <v>613</v>
      </c>
      <c r="T10" s="134" t="s">
        <v>613</v>
      </c>
      <c r="U10" s="381" t="s">
        <v>638</v>
      </c>
      <c r="V10" s="134" t="s">
        <v>591</v>
      </c>
      <c r="W10" s="134" t="s">
        <v>598</v>
      </c>
      <c r="X10" s="134" t="s">
        <v>591</v>
      </c>
      <c r="Y10" s="383" t="s">
        <v>173</v>
      </c>
      <c r="Z10" s="88" t="s">
        <v>156</v>
      </c>
    </row>
    <row r="11" spans="1:26" ht="15" thickBot="1" x14ac:dyDescent="0.35">
      <c r="A11" s="84">
        <v>1967</v>
      </c>
      <c r="B11" s="84" t="s">
        <v>172</v>
      </c>
      <c r="C11" s="134" t="s">
        <v>590</v>
      </c>
      <c r="H11" s="134" t="s">
        <v>614</v>
      </c>
      <c r="I11" s="134" t="s">
        <v>26</v>
      </c>
      <c r="K11" s="90"/>
      <c r="Q11" s="84"/>
      <c r="R11" s="134" t="s">
        <v>590</v>
      </c>
      <c r="S11" s="134" t="s">
        <v>614</v>
      </c>
      <c r="T11" s="134" t="s">
        <v>614</v>
      </c>
      <c r="U11" s="381" t="s">
        <v>630</v>
      </c>
      <c r="V11" s="134" t="s">
        <v>591</v>
      </c>
      <c r="W11" s="134" t="s">
        <v>167</v>
      </c>
      <c r="X11" s="134" t="s">
        <v>603</v>
      </c>
      <c r="Y11" s="380" t="s">
        <v>201</v>
      </c>
      <c r="Z11" s="88" t="s">
        <v>157</v>
      </c>
    </row>
    <row r="12" spans="1:26" ht="15" thickBot="1" x14ac:dyDescent="0.35">
      <c r="A12" s="84">
        <v>1968</v>
      </c>
      <c r="B12" s="84" t="s">
        <v>171</v>
      </c>
      <c r="C12" s="134" t="s">
        <v>600</v>
      </c>
      <c r="H12" s="134" t="s">
        <v>615</v>
      </c>
      <c r="I12" s="134" t="s">
        <v>625</v>
      </c>
      <c r="K12" s="96"/>
      <c r="Q12" s="84"/>
      <c r="R12" s="134" t="s">
        <v>600</v>
      </c>
      <c r="S12" s="134" t="s">
        <v>615</v>
      </c>
      <c r="T12" s="134" t="s">
        <v>615</v>
      </c>
      <c r="U12" s="381" t="s">
        <v>639</v>
      </c>
      <c r="V12" s="134" t="s">
        <v>603</v>
      </c>
      <c r="W12" s="134" t="s">
        <v>603</v>
      </c>
      <c r="X12" s="134" t="s">
        <v>603</v>
      </c>
      <c r="Y12" s="382" t="s">
        <v>193</v>
      </c>
      <c r="Z12" s="88"/>
    </row>
    <row r="13" spans="1:26" ht="15" thickBot="1" x14ac:dyDescent="0.35">
      <c r="A13" s="84">
        <v>1969</v>
      </c>
      <c r="B13" s="84" t="s">
        <v>170</v>
      </c>
      <c r="C13" s="134" t="s">
        <v>594</v>
      </c>
      <c r="H13" s="134" t="s">
        <v>616</v>
      </c>
      <c r="I13" s="134" t="s">
        <v>27</v>
      </c>
      <c r="K13" s="90"/>
      <c r="R13" s="134" t="s">
        <v>594</v>
      </c>
      <c r="S13" s="134" t="s">
        <v>616</v>
      </c>
      <c r="T13" s="134" t="s">
        <v>616</v>
      </c>
      <c r="U13" s="381" t="s">
        <v>640</v>
      </c>
      <c r="V13" s="134" t="s">
        <v>603</v>
      </c>
      <c r="W13" s="134" t="s">
        <v>597</v>
      </c>
      <c r="X13" s="134" t="s">
        <v>603</v>
      </c>
      <c r="Y13" s="382" t="s">
        <v>185</v>
      </c>
      <c r="Z13" s="88"/>
    </row>
    <row r="14" spans="1:26" ht="15" thickBot="1" x14ac:dyDescent="0.35">
      <c r="A14" s="84">
        <v>1970</v>
      </c>
      <c r="B14" s="84" t="s">
        <v>169</v>
      </c>
      <c r="C14" s="134" t="s">
        <v>592</v>
      </c>
      <c r="H14" s="134" t="s">
        <v>617</v>
      </c>
      <c r="I14" s="134" t="s">
        <v>28</v>
      </c>
      <c r="J14" s="90"/>
      <c r="K14" s="90"/>
      <c r="R14" s="134" t="s">
        <v>592</v>
      </c>
      <c r="S14" s="134" t="s">
        <v>617</v>
      </c>
      <c r="T14" s="134" t="s">
        <v>617</v>
      </c>
      <c r="U14" s="381" t="s">
        <v>641</v>
      </c>
      <c r="V14" s="134" t="s">
        <v>603</v>
      </c>
      <c r="W14" s="134" t="s">
        <v>590</v>
      </c>
      <c r="X14" s="134" t="s">
        <v>603</v>
      </c>
      <c r="Y14" s="382" t="s">
        <v>181</v>
      </c>
      <c r="Z14" s="88"/>
    </row>
    <row r="15" spans="1:26" ht="15" thickBot="1" x14ac:dyDescent="0.35">
      <c r="A15" s="84">
        <v>1971</v>
      </c>
      <c r="B15" s="84" t="s">
        <v>168</v>
      </c>
      <c r="C15" s="134" t="s">
        <v>596</v>
      </c>
      <c r="H15" s="134" t="s">
        <v>618</v>
      </c>
      <c r="I15" s="94"/>
      <c r="J15" s="90"/>
      <c r="K15" s="90"/>
      <c r="R15" s="134" t="s">
        <v>596</v>
      </c>
      <c r="S15" s="134" t="s">
        <v>618</v>
      </c>
      <c r="T15" s="134" t="s">
        <v>618</v>
      </c>
      <c r="U15" s="381" t="s">
        <v>642</v>
      </c>
      <c r="V15" s="134" t="s">
        <v>603</v>
      </c>
      <c r="W15" s="134" t="s">
        <v>602</v>
      </c>
      <c r="X15" s="134" t="s">
        <v>603</v>
      </c>
      <c r="Y15" s="382" t="s">
        <v>177</v>
      </c>
      <c r="Z15" s="134"/>
    </row>
    <row r="16" spans="1:26" ht="15" thickBot="1" x14ac:dyDescent="0.35">
      <c r="A16" s="84">
        <v>1972</v>
      </c>
      <c r="C16" s="134" t="s">
        <v>599</v>
      </c>
      <c r="H16" s="134" t="s">
        <v>619</v>
      </c>
      <c r="J16" s="90"/>
      <c r="R16" s="134" t="s">
        <v>599</v>
      </c>
      <c r="S16" s="134" t="s">
        <v>619</v>
      </c>
      <c r="T16" s="134" t="s">
        <v>619</v>
      </c>
      <c r="U16" s="381" t="s">
        <v>643</v>
      </c>
      <c r="V16" s="134" t="s">
        <v>603</v>
      </c>
      <c r="W16" s="134" t="s">
        <v>167</v>
      </c>
      <c r="X16" s="134" t="s">
        <v>603</v>
      </c>
      <c r="Y16" s="382" t="s">
        <v>175</v>
      </c>
      <c r="Z16" s="88" t="s">
        <v>155</v>
      </c>
    </row>
    <row r="17" spans="1:26" ht="15" thickBot="1" x14ac:dyDescent="0.35">
      <c r="A17" s="84">
        <v>1973</v>
      </c>
      <c r="C17" s="134" t="s">
        <v>601</v>
      </c>
      <c r="H17" s="134" t="s">
        <v>620</v>
      </c>
      <c r="J17" s="90"/>
      <c r="R17" s="134" t="s">
        <v>601</v>
      </c>
      <c r="S17" s="134" t="s">
        <v>620</v>
      </c>
      <c r="T17" s="134" t="s">
        <v>620</v>
      </c>
      <c r="U17" s="381" t="s">
        <v>644</v>
      </c>
      <c r="V17" s="134" t="s">
        <v>604</v>
      </c>
      <c r="W17" s="134" t="s">
        <v>604</v>
      </c>
      <c r="X17" s="134" t="s">
        <v>603</v>
      </c>
      <c r="Y17" s="383" t="s">
        <v>173</v>
      </c>
      <c r="Z17" s="88" t="s">
        <v>166</v>
      </c>
    </row>
    <row r="18" spans="1:26" ht="15" thickBot="1" x14ac:dyDescent="0.35">
      <c r="A18" s="84">
        <v>1974</v>
      </c>
      <c r="C18" s="134" t="s">
        <v>602</v>
      </c>
      <c r="H18" s="134" t="s">
        <v>621</v>
      </c>
      <c r="J18" s="90"/>
      <c r="R18" s="134" t="s">
        <v>602</v>
      </c>
      <c r="S18" s="134" t="s">
        <v>621</v>
      </c>
      <c r="T18" s="134" t="s">
        <v>621</v>
      </c>
      <c r="U18" s="381" t="s">
        <v>645</v>
      </c>
      <c r="V18" s="134" t="s">
        <v>604</v>
      </c>
      <c r="W18" s="134" t="s">
        <v>600</v>
      </c>
      <c r="X18" s="134" t="s">
        <v>604</v>
      </c>
      <c r="Y18" s="380" t="s">
        <v>201</v>
      </c>
      <c r="Z18" s="88" t="s">
        <v>156</v>
      </c>
    </row>
    <row r="19" spans="1:26" x14ac:dyDescent="0.3">
      <c r="A19" s="84">
        <v>1975</v>
      </c>
      <c r="C19" s="134"/>
      <c r="H19" s="94"/>
      <c r="J19" s="90"/>
      <c r="R19" s="134" t="s">
        <v>606</v>
      </c>
      <c r="S19" s="134" t="s">
        <v>77</v>
      </c>
      <c r="T19" s="93"/>
      <c r="U19" s="92"/>
      <c r="V19" s="134" t="s">
        <v>604</v>
      </c>
      <c r="W19" s="134" t="s">
        <v>592</v>
      </c>
      <c r="X19" s="134" t="s">
        <v>604</v>
      </c>
      <c r="Y19" s="382" t="s">
        <v>193</v>
      </c>
      <c r="Z19" s="88"/>
    </row>
    <row r="20" spans="1:26" x14ac:dyDescent="0.3">
      <c r="A20" s="84">
        <v>1976</v>
      </c>
      <c r="H20" s="95"/>
      <c r="R20" s="134"/>
      <c r="S20" s="134"/>
      <c r="T20" s="93"/>
      <c r="U20" s="92"/>
      <c r="V20" s="134" t="s">
        <v>604</v>
      </c>
      <c r="W20" s="134" t="s">
        <v>596</v>
      </c>
      <c r="X20" s="134" t="s">
        <v>604</v>
      </c>
      <c r="Y20" s="382" t="s">
        <v>185</v>
      </c>
      <c r="Z20" s="88"/>
    </row>
    <row r="21" spans="1:26" x14ac:dyDescent="0.3">
      <c r="A21" s="84">
        <v>1977</v>
      </c>
      <c r="H21" s="94"/>
      <c r="J21" s="90"/>
      <c r="R21" s="93"/>
      <c r="S21" s="92"/>
      <c r="T21" s="93"/>
      <c r="U21" s="92"/>
      <c r="V21" s="134" t="s">
        <v>604</v>
      </c>
      <c r="W21" s="134" t="s">
        <v>167</v>
      </c>
      <c r="X21" s="134" t="s">
        <v>604</v>
      </c>
      <c r="Y21" s="382" t="s">
        <v>181</v>
      </c>
      <c r="Z21" s="88"/>
    </row>
    <row r="22" spans="1:26" x14ac:dyDescent="0.3">
      <c r="A22" s="84">
        <v>1978</v>
      </c>
      <c r="H22" s="94"/>
      <c r="J22" s="90"/>
      <c r="R22" s="93"/>
      <c r="S22" s="92"/>
      <c r="T22" s="93"/>
      <c r="U22" s="92"/>
      <c r="V22" s="376" t="s">
        <v>597</v>
      </c>
      <c r="W22" s="134" t="s">
        <v>591</v>
      </c>
      <c r="X22" s="134" t="s">
        <v>604</v>
      </c>
      <c r="Y22" s="382" t="s">
        <v>177</v>
      </c>
      <c r="Z22" s="88" t="s">
        <v>156</v>
      </c>
    </row>
    <row r="23" spans="1:26" x14ac:dyDescent="0.3">
      <c r="A23" s="84">
        <v>1979</v>
      </c>
      <c r="H23" s="94"/>
      <c r="I23" s="90"/>
      <c r="J23" s="90"/>
      <c r="R23" s="93"/>
      <c r="S23" s="92"/>
      <c r="T23" s="93"/>
      <c r="U23" s="92"/>
      <c r="V23" s="376" t="s">
        <v>597</v>
      </c>
      <c r="W23" s="134" t="s">
        <v>603</v>
      </c>
      <c r="X23" s="134" t="s">
        <v>604</v>
      </c>
      <c r="Y23" s="382" t="s">
        <v>175</v>
      </c>
      <c r="Z23" s="88" t="s">
        <v>155</v>
      </c>
    </row>
    <row r="24" spans="1:26" x14ac:dyDescent="0.3">
      <c r="A24" s="84">
        <v>1980</v>
      </c>
      <c r="H24" s="94"/>
      <c r="I24" s="90"/>
      <c r="J24" s="90"/>
      <c r="R24" s="93"/>
      <c r="S24" s="92"/>
      <c r="T24" s="93"/>
      <c r="U24" s="92"/>
      <c r="V24" s="376" t="s">
        <v>597</v>
      </c>
      <c r="W24" s="134" t="s">
        <v>597</v>
      </c>
      <c r="X24" s="134" t="s">
        <v>604</v>
      </c>
      <c r="Y24" s="383" t="s">
        <v>173</v>
      </c>
      <c r="Z24" s="88" t="s">
        <v>166</v>
      </c>
    </row>
    <row r="25" spans="1:26" x14ac:dyDescent="0.3">
      <c r="A25" s="84">
        <v>1981</v>
      </c>
      <c r="I25" s="90"/>
      <c r="J25" s="91"/>
      <c r="R25" s="93"/>
      <c r="S25" s="92"/>
      <c r="T25" s="93"/>
      <c r="U25" s="92"/>
      <c r="V25" s="376" t="s">
        <v>597</v>
      </c>
      <c r="W25" s="134" t="s">
        <v>167</v>
      </c>
      <c r="X25" s="134" t="s">
        <v>597</v>
      </c>
      <c r="Y25" s="380" t="s">
        <v>201</v>
      </c>
      <c r="Z25" s="134" t="s">
        <v>155</v>
      </c>
    </row>
    <row r="26" spans="1:26" x14ac:dyDescent="0.3">
      <c r="A26" s="84">
        <v>1982</v>
      </c>
      <c r="I26" s="90"/>
      <c r="J26" s="91"/>
      <c r="R26" s="93"/>
      <c r="S26" s="92"/>
      <c r="T26" s="93"/>
      <c r="U26" s="92"/>
      <c r="V26" s="134" t="s">
        <v>593</v>
      </c>
      <c r="W26" s="134" t="s">
        <v>591</v>
      </c>
      <c r="X26" s="134" t="s">
        <v>597</v>
      </c>
      <c r="Y26" s="382" t="s">
        <v>193</v>
      </c>
      <c r="Z26" s="134"/>
    </row>
    <row r="27" spans="1:26" x14ac:dyDescent="0.3">
      <c r="A27" s="84">
        <v>1983</v>
      </c>
      <c r="I27" s="90"/>
      <c r="J27" s="91"/>
      <c r="R27" s="93"/>
      <c r="S27" s="92"/>
      <c r="T27" s="93"/>
      <c r="U27" s="92"/>
      <c r="V27" s="134" t="s">
        <v>593</v>
      </c>
      <c r="W27" s="134" t="s">
        <v>593</v>
      </c>
      <c r="X27" s="134" t="s">
        <v>597</v>
      </c>
      <c r="Y27" s="382" t="s">
        <v>185</v>
      </c>
      <c r="Z27" s="134"/>
    </row>
    <row r="28" spans="1:26" x14ac:dyDescent="0.3">
      <c r="A28" s="84">
        <v>1984</v>
      </c>
      <c r="I28" s="90"/>
      <c r="J28" s="91"/>
      <c r="R28" s="93"/>
      <c r="S28" s="92"/>
      <c r="U28" s="74"/>
      <c r="V28" s="134" t="s">
        <v>593</v>
      </c>
      <c r="W28" s="134" t="s">
        <v>600</v>
      </c>
      <c r="X28" s="134" t="s">
        <v>597</v>
      </c>
      <c r="Y28" s="382" t="s">
        <v>181</v>
      </c>
      <c r="Z28" s="134"/>
    </row>
    <row r="29" spans="1:26" x14ac:dyDescent="0.3">
      <c r="A29" s="84">
        <v>1985</v>
      </c>
      <c r="J29" s="90"/>
      <c r="R29" s="93"/>
      <c r="S29" s="92"/>
      <c r="U29" s="74"/>
      <c r="V29" s="134" t="s">
        <v>593</v>
      </c>
      <c r="W29" s="134" t="s">
        <v>594</v>
      </c>
      <c r="X29" s="134" t="s">
        <v>597</v>
      </c>
      <c r="Y29" s="382" t="s">
        <v>177</v>
      </c>
      <c r="Z29" s="134" t="s">
        <v>155</v>
      </c>
    </row>
    <row r="30" spans="1:26" x14ac:dyDescent="0.3">
      <c r="A30" s="84">
        <v>1986</v>
      </c>
      <c r="J30" s="91"/>
      <c r="R30" s="93"/>
      <c r="S30" s="92"/>
      <c r="U30" s="74"/>
      <c r="V30" s="134" t="s">
        <v>593</v>
      </c>
      <c r="W30" s="134" t="s">
        <v>592</v>
      </c>
      <c r="X30" s="134" t="s">
        <v>597</v>
      </c>
      <c r="Y30" s="382" t="s">
        <v>175</v>
      </c>
      <c r="Z30" s="134" t="s">
        <v>166</v>
      </c>
    </row>
    <row r="31" spans="1:26" x14ac:dyDescent="0.3">
      <c r="A31" s="84">
        <v>1987</v>
      </c>
      <c r="R31" s="93"/>
      <c r="S31" s="92"/>
      <c r="U31" s="74"/>
      <c r="V31" s="134" t="s">
        <v>593</v>
      </c>
      <c r="W31" s="134" t="s">
        <v>596</v>
      </c>
      <c r="X31" s="134" t="s">
        <v>597</v>
      </c>
      <c r="Y31" s="383" t="s">
        <v>173</v>
      </c>
      <c r="Z31" s="134" t="s">
        <v>165</v>
      </c>
    </row>
    <row r="32" spans="1:26" x14ac:dyDescent="0.3">
      <c r="A32" s="84">
        <v>1988</v>
      </c>
      <c r="J32" s="91"/>
      <c r="R32" s="93"/>
      <c r="S32" s="92"/>
      <c r="U32" s="74"/>
      <c r="V32" s="134" t="s">
        <v>593</v>
      </c>
      <c r="W32" s="134" t="s">
        <v>602</v>
      </c>
      <c r="X32" s="384" t="s">
        <v>598</v>
      </c>
      <c r="Y32" s="385" t="s">
        <v>201</v>
      </c>
      <c r="Z32" s="386" t="s">
        <v>160</v>
      </c>
    </row>
    <row r="33" spans="1:26" x14ac:dyDescent="0.3">
      <c r="A33" s="84">
        <v>1989</v>
      </c>
      <c r="J33" s="91"/>
      <c r="U33" s="74"/>
      <c r="V33" s="134" t="s">
        <v>593</v>
      </c>
      <c r="W33" s="134" t="s">
        <v>598</v>
      </c>
      <c r="X33" s="384" t="s">
        <v>598</v>
      </c>
      <c r="Y33" s="387" t="s">
        <v>193</v>
      </c>
      <c r="Z33" s="386" t="s">
        <v>165</v>
      </c>
    </row>
    <row r="34" spans="1:26" x14ac:dyDescent="0.3">
      <c r="A34" s="84">
        <v>1990</v>
      </c>
      <c r="J34" s="90"/>
      <c r="U34" s="74"/>
      <c r="V34" s="134" t="s">
        <v>593</v>
      </c>
      <c r="W34" s="134" t="s">
        <v>167</v>
      </c>
      <c r="X34" s="384" t="s">
        <v>598</v>
      </c>
      <c r="Y34" s="387" t="s">
        <v>185</v>
      </c>
      <c r="Z34" s="386"/>
    </row>
    <row r="35" spans="1:26" x14ac:dyDescent="0.3">
      <c r="A35" s="84">
        <v>1991</v>
      </c>
      <c r="J35" s="91"/>
      <c r="U35" s="74"/>
      <c r="V35" s="388" t="s">
        <v>595</v>
      </c>
      <c r="W35" s="134" t="s">
        <v>591</v>
      </c>
      <c r="X35" s="384" t="s">
        <v>598</v>
      </c>
      <c r="Y35" s="387" t="s">
        <v>181</v>
      </c>
      <c r="Z35" s="386" t="s">
        <v>162</v>
      </c>
    </row>
    <row r="36" spans="1:26" x14ac:dyDescent="0.3">
      <c r="A36" s="84">
        <v>1992</v>
      </c>
      <c r="J36" s="90"/>
      <c r="U36" s="74"/>
      <c r="V36" s="388" t="s">
        <v>595</v>
      </c>
      <c r="W36" s="134" t="s">
        <v>595</v>
      </c>
      <c r="X36" s="384" t="s">
        <v>598</v>
      </c>
      <c r="Y36" s="387" t="s">
        <v>177</v>
      </c>
      <c r="Z36" s="384"/>
    </row>
    <row r="37" spans="1:26" x14ac:dyDescent="0.3">
      <c r="A37" s="84">
        <v>1993</v>
      </c>
      <c r="U37" s="74"/>
      <c r="V37" s="388" t="s">
        <v>595</v>
      </c>
      <c r="W37" s="134" t="s">
        <v>167</v>
      </c>
      <c r="X37" s="384" t="s">
        <v>598</v>
      </c>
      <c r="Y37" s="387" t="s">
        <v>175</v>
      </c>
      <c r="Z37" s="386" t="s">
        <v>161</v>
      </c>
    </row>
    <row r="38" spans="1:26" x14ac:dyDescent="0.3">
      <c r="A38" s="84">
        <v>1994</v>
      </c>
      <c r="U38" s="74"/>
      <c r="V38" s="388" t="s">
        <v>590</v>
      </c>
      <c r="W38" s="134" t="s">
        <v>591</v>
      </c>
      <c r="X38" s="384" t="s">
        <v>598</v>
      </c>
      <c r="Y38" s="389" t="s">
        <v>173</v>
      </c>
      <c r="Z38" s="384" t="s">
        <v>156</v>
      </c>
    </row>
    <row r="39" spans="1:26" x14ac:dyDescent="0.3">
      <c r="A39" s="84">
        <v>1995</v>
      </c>
      <c r="J39" s="91"/>
      <c r="U39" s="74"/>
      <c r="V39" s="388" t="s">
        <v>590</v>
      </c>
      <c r="W39" s="134" t="s">
        <v>603</v>
      </c>
      <c r="X39" s="134" t="s">
        <v>593</v>
      </c>
      <c r="Y39" s="380" t="s">
        <v>201</v>
      </c>
      <c r="Z39" s="88" t="s">
        <v>164</v>
      </c>
    </row>
    <row r="40" spans="1:26" x14ac:dyDescent="0.3">
      <c r="A40" s="84">
        <v>1996</v>
      </c>
      <c r="J40" s="91"/>
      <c r="U40" s="74"/>
      <c r="V40" s="388" t="s">
        <v>590</v>
      </c>
      <c r="W40" s="134" t="s">
        <v>590</v>
      </c>
      <c r="X40" s="134" t="s">
        <v>593</v>
      </c>
      <c r="Y40" s="382" t="s">
        <v>193</v>
      </c>
      <c r="Z40" s="88" t="s">
        <v>160</v>
      </c>
    </row>
    <row r="41" spans="1:26" x14ac:dyDescent="0.3">
      <c r="A41" s="84">
        <v>1997</v>
      </c>
      <c r="U41" s="74"/>
      <c r="V41" s="388" t="s">
        <v>590</v>
      </c>
      <c r="W41" s="134" t="s">
        <v>602</v>
      </c>
      <c r="X41" s="134" t="s">
        <v>593</v>
      </c>
      <c r="Y41" s="382" t="s">
        <v>185</v>
      </c>
      <c r="Z41" s="88"/>
    </row>
    <row r="42" spans="1:26" x14ac:dyDescent="0.3">
      <c r="A42" s="84">
        <v>1998</v>
      </c>
      <c r="J42" s="90"/>
      <c r="U42" s="74"/>
      <c r="V42" s="388" t="s">
        <v>590</v>
      </c>
      <c r="W42" s="134" t="s">
        <v>167</v>
      </c>
      <c r="X42" s="134" t="s">
        <v>593</v>
      </c>
      <c r="Y42" s="382" t="s">
        <v>181</v>
      </c>
      <c r="Z42" s="88" t="s">
        <v>164</v>
      </c>
    </row>
    <row r="43" spans="1:26" x14ac:dyDescent="0.3">
      <c r="A43" s="84">
        <v>1999</v>
      </c>
      <c r="U43" s="74"/>
      <c r="V43" s="376" t="s">
        <v>600</v>
      </c>
      <c r="W43" s="134" t="s">
        <v>604</v>
      </c>
      <c r="X43" s="134" t="s">
        <v>593</v>
      </c>
      <c r="Y43" s="382" t="s">
        <v>177</v>
      </c>
      <c r="Z43" s="134"/>
    </row>
    <row r="44" spans="1:26" x14ac:dyDescent="0.3">
      <c r="A44" s="84">
        <v>2000</v>
      </c>
      <c r="U44" s="74"/>
      <c r="V44" s="376" t="s">
        <v>600</v>
      </c>
      <c r="W44" s="134" t="s">
        <v>593</v>
      </c>
      <c r="X44" s="134" t="s">
        <v>593</v>
      </c>
      <c r="Y44" s="382" t="s">
        <v>175</v>
      </c>
      <c r="Z44" s="88" t="s">
        <v>158</v>
      </c>
    </row>
    <row r="45" spans="1:26" x14ac:dyDescent="0.3">
      <c r="A45" s="84">
        <v>2001</v>
      </c>
      <c r="U45" s="74"/>
      <c r="V45" s="376" t="s">
        <v>600</v>
      </c>
      <c r="W45" s="134" t="s">
        <v>594</v>
      </c>
      <c r="X45" s="134" t="s">
        <v>593</v>
      </c>
      <c r="Y45" s="383" t="s">
        <v>173</v>
      </c>
      <c r="Z45" s="88" t="s">
        <v>157</v>
      </c>
    </row>
    <row r="46" spans="1:26" x14ac:dyDescent="0.3">
      <c r="A46" s="84">
        <v>2002</v>
      </c>
      <c r="U46" s="74"/>
      <c r="V46" s="376" t="s">
        <v>600</v>
      </c>
      <c r="W46" s="134" t="s">
        <v>592</v>
      </c>
      <c r="X46" s="134" t="s">
        <v>595</v>
      </c>
      <c r="Y46" s="380" t="s">
        <v>201</v>
      </c>
      <c r="Z46" s="88" t="s">
        <v>160</v>
      </c>
    </row>
    <row r="47" spans="1:26" x14ac:dyDescent="0.3">
      <c r="A47" s="84">
        <v>2003</v>
      </c>
      <c r="U47" s="74"/>
      <c r="V47" s="376" t="s">
        <v>600</v>
      </c>
      <c r="W47" s="134" t="s">
        <v>596</v>
      </c>
      <c r="X47" s="134" t="s">
        <v>595</v>
      </c>
      <c r="Y47" s="382" t="s">
        <v>193</v>
      </c>
      <c r="Z47" s="88" t="s">
        <v>164</v>
      </c>
    </row>
    <row r="48" spans="1:26" x14ac:dyDescent="0.3">
      <c r="A48" s="84">
        <v>2004</v>
      </c>
      <c r="U48" s="74"/>
      <c r="V48" s="376" t="s">
        <v>600</v>
      </c>
      <c r="W48" s="134" t="s">
        <v>599</v>
      </c>
      <c r="X48" s="134" t="s">
        <v>595</v>
      </c>
      <c r="Y48" s="382" t="s">
        <v>185</v>
      </c>
      <c r="Z48" s="88"/>
    </row>
    <row r="49" spans="1:26" x14ac:dyDescent="0.3">
      <c r="A49" s="84">
        <v>2005</v>
      </c>
      <c r="S49" s="85"/>
      <c r="U49" s="74"/>
      <c r="V49" s="376" t="s">
        <v>600</v>
      </c>
      <c r="W49" s="134" t="s">
        <v>601</v>
      </c>
      <c r="X49" s="134" t="s">
        <v>595</v>
      </c>
      <c r="Y49" s="382" t="s">
        <v>181</v>
      </c>
      <c r="Z49" s="88" t="s">
        <v>163</v>
      </c>
    </row>
    <row r="50" spans="1:26" x14ac:dyDescent="0.3">
      <c r="A50" s="84">
        <v>2006</v>
      </c>
      <c r="S50" s="85"/>
      <c r="U50" s="74"/>
      <c r="V50" s="376" t="s">
        <v>600</v>
      </c>
      <c r="W50" s="134" t="s">
        <v>602</v>
      </c>
      <c r="X50" s="134" t="s">
        <v>595</v>
      </c>
      <c r="Y50" s="382" t="s">
        <v>177</v>
      </c>
      <c r="Z50" s="88"/>
    </row>
    <row r="51" spans="1:26" x14ac:dyDescent="0.3">
      <c r="A51" s="84">
        <v>2007</v>
      </c>
      <c r="S51" s="85"/>
      <c r="U51" s="74"/>
      <c r="V51" s="134" t="s">
        <v>594</v>
      </c>
      <c r="W51" s="134" t="s">
        <v>593</v>
      </c>
      <c r="X51" s="134" t="s">
        <v>595</v>
      </c>
      <c r="Y51" s="382" t="s">
        <v>175</v>
      </c>
      <c r="Z51" s="88" t="s">
        <v>162</v>
      </c>
    </row>
    <row r="52" spans="1:26" x14ac:dyDescent="0.3">
      <c r="A52" s="84">
        <v>2008</v>
      </c>
      <c r="S52" s="85"/>
      <c r="U52" s="74"/>
      <c r="V52" s="134" t="s">
        <v>594</v>
      </c>
      <c r="W52" s="134" t="s">
        <v>600</v>
      </c>
      <c r="X52" s="134" t="s">
        <v>595</v>
      </c>
      <c r="Y52" s="383" t="s">
        <v>173</v>
      </c>
      <c r="Z52" s="134" t="s">
        <v>161</v>
      </c>
    </row>
    <row r="53" spans="1:26" x14ac:dyDescent="0.3">
      <c r="A53" s="84">
        <v>2009</v>
      </c>
      <c r="S53" s="85"/>
      <c r="U53" s="74"/>
      <c r="V53" s="134" t="s">
        <v>594</v>
      </c>
      <c r="W53" s="134" t="s">
        <v>594</v>
      </c>
      <c r="X53" s="134" t="s">
        <v>590</v>
      </c>
      <c r="Y53" s="380" t="s">
        <v>201</v>
      </c>
      <c r="Z53" s="88" t="s">
        <v>160</v>
      </c>
    </row>
    <row r="54" spans="1:26" x14ac:dyDescent="0.3">
      <c r="A54" s="84">
        <v>2010</v>
      </c>
      <c r="S54" s="85"/>
      <c r="U54" s="74"/>
      <c r="V54" s="134" t="s">
        <v>594</v>
      </c>
      <c r="W54" s="134" t="s">
        <v>592</v>
      </c>
      <c r="X54" s="134" t="s">
        <v>590</v>
      </c>
      <c r="Y54" s="382" t="s">
        <v>193</v>
      </c>
      <c r="Z54" s="88" t="s">
        <v>165</v>
      </c>
    </row>
    <row r="55" spans="1:26" x14ac:dyDescent="0.3">
      <c r="A55" s="84">
        <v>2011</v>
      </c>
      <c r="S55" s="85"/>
      <c r="U55" s="74"/>
      <c r="V55" s="134" t="s">
        <v>594</v>
      </c>
      <c r="W55" s="134" t="s">
        <v>596</v>
      </c>
      <c r="X55" s="134" t="s">
        <v>590</v>
      </c>
      <c r="Y55" s="382" t="s">
        <v>185</v>
      </c>
      <c r="Z55" s="88"/>
    </row>
    <row r="56" spans="1:26" x14ac:dyDescent="0.3">
      <c r="A56" s="84">
        <v>2012</v>
      </c>
      <c r="S56" s="85"/>
      <c r="U56" s="74"/>
      <c r="V56" s="134" t="s">
        <v>594</v>
      </c>
      <c r="W56" s="134" t="s">
        <v>599</v>
      </c>
      <c r="X56" s="134" t="s">
        <v>590</v>
      </c>
      <c r="Y56" s="382" t="s">
        <v>181</v>
      </c>
      <c r="Z56" s="88" t="s">
        <v>162</v>
      </c>
    </row>
    <row r="57" spans="1:26" x14ac:dyDescent="0.3">
      <c r="A57" s="84">
        <v>2013</v>
      </c>
      <c r="S57" s="85"/>
      <c r="U57" s="74"/>
      <c r="V57" s="134" t="s">
        <v>594</v>
      </c>
      <c r="W57" s="134" t="s">
        <v>601</v>
      </c>
      <c r="X57" s="134" t="s">
        <v>590</v>
      </c>
      <c r="Y57" s="382" t="s">
        <v>181</v>
      </c>
      <c r="Z57" s="88" t="s">
        <v>161</v>
      </c>
    </row>
    <row r="58" spans="1:26" x14ac:dyDescent="0.3">
      <c r="A58" s="84">
        <v>2014</v>
      </c>
      <c r="S58" s="85"/>
      <c r="U58" s="74"/>
      <c r="V58" s="134" t="s">
        <v>594</v>
      </c>
      <c r="W58" s="134" t="s">
        <v>167</v>
      </c>
      <c r="X58" s="134" t="s">
        <v>590</v>
      </c>
      <c r="Y58" s="382" t="s">
        <v>181</v>
      </c>
      <c r="Z58" s="88" t="s">
        <v>158</v>
      </c>
    </row>
    <row r="59" spans="1:26" x14ac:dyDescent="0.3">
      <c r="A59" s="84">
        <v>2015</v>
      </c>
      <c r="S59" s="85"/>
      <c r="U59" s="74"/>
      <c r="V59" s="390" t="s">
        <v>592</v>
      </c>
      <c r="W59" s="134" t="s">
        <v>604</v>
      </c>
      <c r="X59" s="134" t="s">
        <v>590</v>
      </c>
      <c r="Y59" s="382" t="s">
        <v>177</v>
      </c>
      <c r="Z59" s="134"/>
    </row>
    <row r="60" spans="1:26" x14ac:dyDescent="0.3">
      <c r="A60" s="84">
        <v>2016</v>
      </c>
      <c r="S60" s="85"/>
      <c r="U60" s="74"/>
      <c r="V60" s="390" t="s">
        <v>592</v>
      </c>
      <c r="W60" s="134" t="s">
        <v>593</v>
      </c>
      <c r="X60" s="134" t="s">
        <v>590</v>
      </c>
      <c r="Y60" s="382" t="s">
        <v>175</v>
      </c>
      <c r="Z60" s="88" t="s">
        <v>161</v>
      </c>
    </row>
    <row r="61" spans="1:26" x14ac:dyDescent="0.3">
      <c r="A61" s="84">
        <v>2017</v>
      </c>
      <c r="S61" s="85"/>
      <c r="U61" s="74"/>
      <c r="V61" s="390" t="s">
        <v>592</v>
      </c>
      <c r="W61" s="134" t="s">
        <v>600</v>
      </c>
      <c r="X61" s="134" t="s">
        <v>590</v>
      </c>
      <c r="Y61" s="383" t="s">
        <v>173</v>
      </c>
      <c r="Z61" s="88" t="s">
        <v>156</v>
      </c>
    </row>
    <row r="62" spans="1:26" x14ac:dyDescent="0.3">
      <c r="A62" s="84">
        <v>2018</v>
      </c>
      <c r="S62" s="85"/>
      <c r="U62" s="74"/>
      <c r="V62" s="390" t="s">
        <v>592</v>
      </c>
      <c r="W62" s="134" t="s">
        <v>594</v>
      </c>
      <c r="X62" s="134" t="s">
        <v>600</v>
      </c>
      <c r="Y62" s="380" t="s">
        <v>201</v>
      </c>
      <c r="Z62" s="88" t="s">
        <v>161</v>
      </c>
    </row>
    <row r="63" spans="1:26" x14ac:dyDescent="0.3">
      <c r="A63" s="84">
        <v>2019</v>
      </c>
      <c r="S63" s="85"/>
      <c r="U63" s="74"/>
      <c r="V63" s="390" t="s">
        <v>592</v>
      </c>
      <c r="W63" s="134" t="s">
        <v>592</v>
      </c>
      <c r="X63" s="134" t="s">
        <v>600</v>
      </c>
      <c r="Y63" s="382" t="s">
        <v>193</v>
      </c>
      <c r="Z63" s="88"/>
    </row>
    <row r="64" spans="1:26" x14ac:dyDescent="0.3">
      <c r="A64" s="84">
        <v>2020</v>
      </c>
      <c r="S64" s="85"/>
      <c r="U64" s="74"/>
      <c r="V64" s="390" t="s">
        <v>592</v>
      </c>
      <c r="W64" s="134" t="s">
        <v>599</v>
      </c>
      <c r="X64" s="134" t="s">
        <v>600</v>
      </c>
      <c r="Y64" s="382" t="s">
        <v>185</v>
      </c>
      <c r="Z64" s="88"/>
    </row>
    <row r="65" spans="1:26" x14ac:dyDescent="0.3">
      <c r="A65" s="84">
        <v>2021</v>
      </c>
      <c r="S65" s="85"/>
      <c r="U65" s="74"/>
      <c r="V65" s="390" t="s">
        <v>592</v>
      </c>
      <c r="W65" s="134" t="s">
        <v>601</v>
      </c>
      <c r="X65" s="134" t="s">
        <v>600</v>
      </c>
      <c r="Y65" s="382" t="s">
        <v>181</v>
      </c>
      <c r="Z65" s="88"/>
    </row>
    <row r="66" spans="1:26" x14ac:dyDescent="0.3">
      <c r="A66" s="84">
        <v>2022</v>
      </c>
      <c r="S66" s="85"/>
      <c r="U66" s="74"/>
      <c r="V66" s="390" t="s">
        <v>592</v>
      </c>
      <c r="W66" s="134" t="s">
        <v>167</v>
      </c>
      <c r="X66" s="134" t="s">
        <v>600</v>
      </c>
      <c r="Y66" s="382" t="s">
        <v>177</v>
      </c>
      <c r="Z66" s="86" t="s">
        <v>161</v>
      </c>
    </row>
    <row r="67" spans="1:26" x14ac:dyDescent="0.3">
      <c r="A67" s="84">
        <v>2023</v>
      </c>
      <c r="S67" s="85"/>
      <c r="U67" s="74"/>
      <c r="V67" s="390" t="s">
        <v>596</v>
      </c>
      <c r="W67" s="134" t="s">
        <v>604</v>
      </c>
      <c r="X67" s="134" t="s">
        <v>600</v>
      </c>
      <c r="Y67" s="382" t="s">
        <v>175</v>
      </c>
      <c r="Z67" s="88" t="s">
        <v>158</v>
      </c>
    </row>
    <row r="68" spans="1:26" x14ac:dyDescent="0.3">
      <c r="A68" s="84">
        <v>2024</v>
      </c>
      <c r="S68" s="85"/>
      <c r="U68" s="74"/>
      <c r="V68" s="390" t="s">
        <v>596</v>
      </c>
      <c r="W68" s="134" t="s">
        <v>593</v>
      </c>
      <c r="X68" s="134" t="s">
        <v>600</v>
      </c>
      <c r="Y68" s="383" t="s">
        <v>173</v>
      </c>
      <c r="Z68" s="88" t="s">
        <v>156</v>
      </c>
    </row>
    <row r="69" spans="1:26" x14ac:dyDescent="0.3">
      <c r="A69" s="84">
        <v>2025</v>
      </c>
      <c r="S69" s="85"/>
      <c r="U69" s="74"/>
      <c r="V69" s="390" t="s">
        <v>596</v>
      </c>
      <c r="W69" s="134" t="s">
        <v>600</v>
      </c>
      <c r="X69" s="134" t="s">
        <v>594</v>
      </c>
      <c r="Y69" s="380" t="s">
        <v>201</v>
      </c>
      <c r="Z69" s="88" t="s">
        <v>155</v>
      </c>
    </row>
    <row r="70" spans="1:26" x14ac:dyDescent="0.3">
      <c r="A70" s="84">
        <v>2026</v>
      </c>
      <c r="S70" s="85"/>
      <c r="U70" s="74"/>
      <c r="V70" s="390" t="s">
        <v>596</v>
      </c>
      <c r="W70" s="134" t="s">
        <v>594</v>
      </c>
      <c r="X70" s="134" t="s">
        <v>594</v>
      </c>
      <c r="Y70" s="382" t="s">
        <v>193</v>
      </c>
      <c r="Z70" s="88"/>
    </row>
    <row r="71" spans="1:26" x14ac:dyDescent="0.3">
      <c r="A71" s="84">
        <v>2027</v>
      </c>
      <c r="S71" s="85"/>
      <c r="U71" s="74"/>
      <c r="V71" s="390" t="s">
        <v>596</v>
      </c>
      <c r="W71" s="134" t="s">
        <v>592</v>
      </c>
      <c r="X71" s="134" t="s">
        <v>594</v>
      </c>
      <c r="Y71" s="382" t="s">
        <v>185</v>
      </c>
      <c r="Z71" s="88"/>
    </row>
    <row r="72" spans="1:26" x14ac:dyDescent="0.3">
      <c r="A72" s="84">
        <v>2028</v>
      </c>
      <c r="S72" s="85"/>
      <c r="U72" s="74"/>
      <c r="V72" s="390" t="s">
        <v>596</v>
      </c>
      <c r="W72" s="134" t="s">
        <v>596</v>
      </c>
      <c r="X72" s="134" t="s">
        <v>594</v>
      </c>
      <c r="Y72" s="382" t="s">
        <v>181</v>
      </c>
      <c r="Z72" s="88"/>
    </row>
    <row r="73" spans="1:26" x14ac:dyDescent="0.3">
      <c r="A73" s="84">
        <v>2029</v>
      </c>
      <c r="S73" s="85"/>
      <c r="U73" s="74"/>
      <c r="V73" s="390" t="s">
        <v>596</v>
      </c>
      <c r="W73" s="134" t="s">
        <v>599</v>
      </c>
      <c r="X73" s="134" t="s">
        <v>594</v>
      </c>
      <c r="Y73" s="382" t="s">
        <v>177</v>
      </c>
      <c r="Z73" s="88" t="s">
        <v>155</v>
      </c>
    </row>
    <row r="74" spans="1:26" x14ac:dyDescent="0.3">
      <c r="A74" s="84">
        <v>2030</v>
      </c>
      <c r="S74" s="85"/>
      <c r="U74" s="74"/>
      <c r="V74" s="390" t="s">
        <v>596</v>
      </c>
      <c r="W74" s="134" t="s">
        <v>601</v>
      </c>
      <c r="X74" s="134" t="s">
        <v>594</v>
      </c>
      <c r="Y74" s="382" t="s">
        <v>175</v>
      </c>
      <c r="Z74" s="88" t="s">
        <v>166</v>
      </c>
    </row>
    <row r="75" spans="1:26" x14ac:dyDescent="0.3">
      <c r="A75" s="84">
        <v>2031</v>
      </c>
      <c r="S75" s="85"/>
      <c r="U75" s="74"/>
      <c r="V75" s="390" t="s">
        <v>596</v>
      </c>
      <c r="W75" s="134" t="s">
        <v>167</v>
      </c>
      <c r="X75" s="134" t="s">
        <v>594</v>
      </c>
      <c r="Y75" s="383" t="s">
        <v>173</v>
      </c>
      <c r="Z75" s="88" t="s">
        <v>165</v>
      </c>
    </row>
    <row r="76" spans="1:26" x14ac:dyDescent="0.3">
      <c r="A76" s="84">
        <v>2032</v>
      </c>
      <c r="S76" s="85"/>
      <c r="U76" s="74"/>
      <c r="V76" s="390" t="s">
        <v>599</v>
      </c>
      <c r="W76" s="134" t="s">
        <v>600</v>
      </c>
      <c r="X76" s="134" t="s">
        <v>592</v>
      </c>
      <c r="Y76" s="380" t="s">
        <v>201</v>
      </c>
      <c r="Z76" s="88" t="s">
        <v>161</v>
      </c>
    </row>
    <row r="77" spans="1:26" x14ac:dyDescent="0.3">
      <c r="A77" s="84">
        <v>2033</v>
      </c>
      <c r="S77" s="85"/>
      <c r="U77" s="74"/>
      <c r="V77" s="390" t="s">
        <v>599</v>
      </c>
      <c r="W77" s="134" t="s">
        <v>594</v>
      </c>
      <c r="X77" s="134" t="s">
        <v>592</v>
      </c>
      <c r="Y77" s="382" t="s">
        <v>193</v>
      </c>
      <c r="Z77" s="88"/>
    </row>
    <row r="78" spans="1:26" x14ac:dyDescent="0.3">
      <c r="A78" s="84">
        <v>2034</v>
      </c>
      <c r="S78" s="85"/>
      <c r="U78" s="74"/>
      <c r="V78" s="390" t="s">
        <v>599</v>
      </c>
      <c r="W78" s="134" t="s">
        <v>592</v>
      </c>
      <c r="X78" s="134" t="s">
        <v>592</v>
      </c>
      <c r="Y78" s="382" t="s">
        <v>185</v>
      </c>
      <c r="Z78" s="88"/>
    </row>
    <row r="79" spans="1:26" x14ac:dyDescent="0.3">
      <c r="A79" s="84">
        <v>2035</v>
      </c>
      <c r="S79" s="85"/>
      <c r="U79" s="74"/>
      <c r="V79" s="390" t="s">
        <v>599</v>
      </c>
      <c r="W79" s="134" t="s">
        <v>596</v>
      </c>
      <c r="X79" s="134" t="s">
        <v>592</v>
      </c>
      <c r="Y79" s="382" t="s">
        <v>181</v>
      </c>
      <c r="Z79" s="88"/>
    </row>
    <row r="80" spans="1:26" x14ac:dyDescent="0.3">
      <c r="A80" s="84">
        <v>2036</v>
      </c>
      <c r="S80" s="85"/>
      <c r="U80" s="74"/>
      <c r="V80" s="390" t="s">
        <v>599</v>
      </c>
      <c r="W80" s="134" t="s">
        <v>599</v>
      </c>
      <c r="X80" s="134" t="s">
        <v>592</v>
      </c>
      <c r="Y80" s="382" t="s">
        <v>177</v>
      </c>
      <c r="Z80" s="86" t="s">
        <v>161</v>
      </c>
    </row>
    <row r="81" spans="1:26" x14ac:dyDescent="0.3">
      <c r="A81" s="84">
        <v>2037</v>
      </c>
      <c r="S81" s="85"/>
      <c r="U81" s="74"/>
      <c r="V81" s="390" t="s">
        <v>599</v>
      </c>
      <c r="W81" s="134" t="s">
        <v>601</v>
      </c>
      <c r="X81" s="134" t="s">
        <v>592</v>
      </c>
      <c r="Y81" s="382" t="s">
        <v>175</v>
      </c>
      <c r="Z81" s="88" t="s">
        <v>158</v>
      </c>
    </row>
    <row r="82" spans="1:26" x14ac:dyDescent="0.3">
      <c r="A82" s="84">
        <v>2038</v>
      </c>
      <c r="S82" s="85"/>
      <c r="U82" s="74"/>
      <c r="V82" s="390" t="s">
        <v>599</v>
      </c>
      <c r="W82" s="134" t="s">
        <v>602</v>
      </c>
      <c r="X82" s="134" t="s">
        <v>592</v>
      </c>
      <c r="Y82" s="383" t="s">
        <v>173</v>
      </c>
      <c r="Z82" s="88" t="s">
        <v>156</v>
      </c>
    </row>
    <row r="83" spans="1:26" x14ac:dyDescent="0.3">
      <c r="A83" s="84">
        <v>2039</v>
      </c>
      <c r="S83" s="85"/>
      <c r="U83" s="74"/>
      <c r="V83" s="390" t="s">
        <v>599</v>
      </c>
      <c r="W83" s="134" t="s">
        <v>584</v>
      </c>
      <c r="X83" s="350" t="s">
        <v>596</v>
      </c>
      <c r="Y83" s="391" t="s">
        <v>201</v>
      </c>
      <c r="Z83" s="392" t="s">
        <v>161</v>
      </c>
    </row>
    <row r="84" spans="1:26" x14ac:dyDescent="0.3">
      <c r="A84" s="84">
        <v>2040</v>
      </c>
      <c r="S84" s="85"/>
      <c r="U84" s="74"/>
      <c r="V84" s="390" t="s">
        <v>599</v>
      </c>
      <c r="W84" s="134" t="s">
        <v>589</v>
      </c>
      <c r="X84" s="350" t="s">
        <v>596</v>
      </c>
      <c r="Y84" s="393" t="s">
        <v>193</v>
      </c>
      <c r="Z84" s="392"/>
    </row>
    <row r="85" spans="1:26" x14ac:dyDescent="0.3">
      <c r="A85" s="84">
        <v>2041</v>
      </c>
      <c r="S85" s="85"/>
      <c r="U85" s="74"/>
      <c r="V85" s="390" t="s">
        <v>599</v>
      </c>
      <c r="W85" s="134" t="s">
        <v>598</v>
      </c>
      <c r="X85" s="350" t="s">
        <v>596</v>
      </c>
      <c r="Y85" s="393" t="s">
        <v>185</v>
      </c>
      <c r="Z85" s="392"/>
    </row>
    <row r="86" spans="1:26" x14ac:dyDescent="0.3">
      <c r="A86" s="84">
        <v>2042</v>
      </c>
      <c r="S86" s="85"/>
      <c r="U86" s="74"/>
      <c r="V86" s="390" t="s">
        <v>599</v>
      </c>
      <c r="W86" s="134" t="s">
        <v>167</v>
      </c>
      <c r="X86" s="350" t="s">
        <v>596</v>
      </c>
      <c r="Y86" s="393" t="s">
        <v>181</v>
      </c>
      <c r="Z86" s="392"/>
    </row>
    <row r="87" spans="1:26" x14ac:dyDescent="0.3">
      <c r="A87" s="84">
        <v>2043</v>
      </c>
      <c r="U87" s="74"/>
      <c r="V87" s="134" t="s">
        <v>601</v>
      </c>
      <c r="W87" s="134" t="s">
        <v>600</v>
      </c>
      <c r="X87" s="350" t="s">
        <v>596</v>
      </c>
      <c r="Y87" s="393" t="s">
        <v>177</v>
      </c>
      <c r="Z87" s="394" t="s">
        <v>161</v>
      </c>
    </row>
    <row r="88" spans="1:26" x14ac:dyDescent="0.3">
      <c r="A88" s="84">
        <v>2044</v>
      </c>
      <c r="U88" s="74"/>
      <c r="V88" s="134" t="s">
        <v>601</v>
      </c>
      <c r="W88" s="134" t="s">
        <v>594</v>
      </c>
      <c r="X88" s="350" t="s">
        <v>596</v>
      </c>
      <c r="Y88" s="393" t="s">
        <v>175</v>
      </c>
      <c r="Z88" s="392"/>
    </row>
    <row r="89" spans="1:26" x14ac:dyDescent="0.3">
      <c r="A89" s="84">
        <v>2045</v>
      </c>
      <c r="U89" s="74"/>
      <c r="V89" s="134" t="s">
        <v>601</v>
      </c>
      <c r="W89" s="134" t="s">
        <v>592</v>
      </c>
      <c r="X89" s="350" t="s">
        <v>596</v>
      </c>
      <c r="Y89" s="395" t="s">
        <v>173</v>
      </c>
      <c r="Z89" s="392" t="s">
        <v>156</v>
      </c>
    </row>
    <row r="90" spans="1:26" x14ac:dyDescent="0.3">
      <c r="A90" s="84">
        <v>2046</v>
      </c>
      <c r="U90" s="74"/>
      <c r="V90" s="134" t="s">
        <v>601</v>
      </c>
      <c r="W90" s="134" t="s">
        <v>596</v>
      </c>
      <c r="X90" s="134" t="s">
        <v>599</v>
      </c>
      <c r="Y90" s="380" t="s">
        <v>201</v>
      </c>
      <c r="Z90" s="86" t="s">
        <v>161</v>
      </c>
    </row>
    <row r="91" spans="1:26" x14ac:dyDescent="0.3">
      <c r="A91" s="84">
        <v>2047</v>
      </c>
      <c r="U91" s="74"/>
      <c r="V91" s="134" t="s">
        <v>601</v>
      </c>
      <c r="W91" s="134" t="s">
        <v>601</v>
      </c>
      <c r="X91" s="134" t="s">
        <v>599</v>
      </c>
      <c r="Y91" s="382" t="s">
        <v>193</v>
      </c>
      <c r="Z91" s="86"/>
    </row>
    <row r="92" spans="1:26" x14ac:dyDescent="0.3">
      <c r="A92" s="84">
        <v>2048</v>
      </c>
      <c r="U92" s="74"/>
      <c r="V92" s="134" t="s">
        <v>601</v>
      </c>
      <c r="W92" s="134" t="s">
        <v>167</v>
      </c>
      <c r="X92" s="134" t="s">
        <v>599</v>
      </c>
      <c r="Y92" s="382" t="s">
        <v>185</v>
      </c>
      <c r="Z92" s="86"/>
    </row>
    <row r="93" spans="1:26" x14ac:dyDescent="0.3">
      <c r="A93" s="84">
        <v>2049</v>
      </c>
      <c r="U93" s="74"/>
      <c r="V93" s="134" t="s">
        <v>602</v>
      </c>
      <c r="W93" s="134" t="s">
        <v>591</v>
      </c>
      <c r="X93" s="134" t="s">
        <v>599</v>
      </c>
      <c r="Y93" s="382" t="s">
        <v>181</v>
      </c>
      <c r="Z93" s="86"/>
    </row>
    <row r="94" spans="1:26" x14ac:dyDescent="0.3">
      <c r="A94" s="84">
        <v>2050</v>
      </c>
      <c r="U94" s="74"/>
      <c r="V94" s="134" t="s">
        <v>602</v>
      </c>
      <c r="W94" s="134" t="s">
        <v>603</v>
      </c>
      <c r="X94" s="134" t="s">
        <v>599</v>
      </c>
      <c r="Y94" s="382" t="s">
        <v>177</v>
      </c>
      <c r="Z94" s="86" t="s">
        <v>161</v>
      </c>
    </row>
    <row r="95" spans="1:26" x14ac:dyDescent="0.3">
      <c r="A95" s="84" t="s">
        <v>154</v>
      </c>
      <c r="U95" s="74"/>
      <c r="V95" s="134" t="s">
        <v>602</v>
      </c>
      <c r="W95" s="134" t="s">
        <v>593</v>
      </c>
      <c r="X95" s="134" t="s">
        <v>599</v>
      </c>
      <c r="Y95" s="382" t="s">
        <v>175</v>
      </c>
      <c r="Z95" s="86"/>
    </row>
    <row r="96" spans="1:26" x14ac:dyDescent="0.3">
      <c r="A96" s="84" t="s">
        <v>153</v>
      </c>
      <c r="U96" s="74"/>
      <c r="V96" s="134" t="s">
        <v>602</v>
      </c>
      <c r="W96" s="134" t="s">
        <v>590</v>
      </c>
      <c r="X96" s="134" t="s">
        <v>599</v>
      </c>
      <c r="Y96" s="383" t="s">
        <v>173</v>
      </c>
      <c r="Z96" s="86" t="s">
        <v>155</v>
      </c>
    </row>
    <row r="97" spans="1:26" x14ac:dyDescent="0.3">
      <c r="A97" s="84" t="s">
        <v>152</v>
      </c>
      <c r="U97" s="74"/>
      <c r="V97" s="134" t="s">
        <v>602</v>
      </c>
      <c r="W97" s="134" t="s">
        <v>600</v>
      </c>
      <c r="X97" s="134" t="s">
        <v>601</v>
      </c>
      <c r="Y97" s="380" t="s">
        <v>201</v>
      </c>
      <c r="Z97" s="88" t="s">
        <v>161</v>
      </c>
    </row>
    <row r="98" spans="1:26" x14ac:dyDescent="0.3">
      <c r="A98" s="84" t="s">
        <v>151</v>
      </c>
      <c r="U98" s="74"/>
      <c r="V98" s="134" t="s">
        <v>602</v>
      </c>
      <c r="W98" s="134" t="s">
        <v>592</v>
      </c>
      <c r="X98" s="134" t="s">
        <v>601</v>
      </c>
      <c r="Y98" s="382" t="s">
        <v>201</v>
      </c>
      <c r="Z98" s="88" t="s">
        <v>166</v>
      </c>
    </row>
    <row r="99" spans="1:26" x14ac:dyDescent="0.3">
      <c r="A99" s="84" t="s">
        <v>150</v>
      </c>
      <c r="U99" s="74"/>
      <c r="V99" s="134" t="s">
        <v>602</v>
      </c>
      <c r="W99" s="134" t="s">
        <v>596</v>
      </c>
      <c r="X99" s="134" t="s">
        <v>601</v>
      </c>
      <c r="Y99" s="382" t="s">
        <v>193</v>
      </c>
      <c r="Z99" s="88"/>
    </row>
    <row r="100" spans="1:26" x14ac:dyDescent="0.3">
      <c r="A100" s="84" t="s">
        <v>149</v>
      </c>
      <c r="U100" s="74"/>
      <c r="V100" s="134" t="s">
        <v>602</v>
      </c>
      <c r="W100" s="134" t="s">
        <v>599</v>
      </c>
      <c r="X100" s="134" t="s">
        <v>601</v>
      </c>
      <c r="Y100" s="382" t="s">
        <v>185</v>
      </c>
      <c r="Z100" s="88"/>
    </row>
    <row r="101" spans="1:26" x14ac:dyDescent="0.3">
      <c r="A101" s="84" t="s">
        <v>148</v>
      </c>
      <c r="U101" s="74"/>
      <c r="V101" s="134" t="s">
        <v>602</v>
      </c>
      <c r="W101" s="134" t="s">
        <v>602</v>
      </c>
      <c r="X101" s="134" t="s">
        <v>601</v>
      </c>
      <c r="Y101" s="382" t="s">
        <v>181</v>
      </c>
      <c r="Z101" s="134"/>
    </row>
    <row r="102" spans="1:26" x14ac:dyDescent="0.3">
      <c r="A102" s="84" t="s">
        <v>147</v>
      </c>
      <c r="U102" s="74"/>
      <c r="V102" s="134" t="s">
        <v>602</v>
      </c>
      <c r="W102" s="134" t="s">
        <v>167</v>
      </c>
      <c r="X102" s="134" t="s">
        <v>601</v>
      </c>
      <c r="Y102" s="382" t="s">
        <v>177</v>
      </c>
      <c r="Z102" s="88" t="s">
        <v>161</v>
      </c>
    </row>
    <row r="103" spans="1:26" x14ac:dyDescent="0.3">
      <c r="A103" s="84" t="s">
        <v>146</v>
      </c>
      <c r="U103" s="74"/>
      <c r="V103" s="134" t="s">
        <v>584</v>
      </c>
      <c r="W103" s="134" t="s">
        <v>584</v>
      </c>
      <c r="X103" s="134" t="s">
        <v>601</v>
      </c>
      <c r="Y103" s="382" t="s">
        <v>177</v>
      </c>
      <c r="Z103" s="88" t="s">
        <v>166</v>
      </c>
    </row>
    <row r="104" spans="1:26" x14ac:dyDescent="0.3">
      <c r="A104" s="84" t="s">
        <v>145</v>
      </c>
      <c r="U104" s="74"/>
      <c r="V104" s="134" t="s">
        <v>589</v>
      </c>
      <c r="W104" s="134" t="s">
        <v>589</v>
      </c>
      <c r="X104" s="134" t="s">
        <v>601</v>
      </c>
      <c r="Y104" s="382" t="s">
        <v>175</v>
      </c>
      <c r="Z104" s="134"/>
    </row>
    <row r="105" spans="1:26" x14ac:dyDescent="0.3">
      <c r="A105" s="84" t="s">
        <v>144</v>
      </c>
      <c r="U105" s="74"/>
      <c r="V105" s="134" t="s">
        <v>598</v>
      </c>
      <c r="W105" s="134" t="s">
        <v>591</v>
      </c>
      <c r="X105" s="134" t="s">
        <v>601</v>
      </c>
      <c r="Y105" s="382" t="s">
        <v>173</v>
      </c>
      <c r="Z105" s="88" t="s">
        <v>157</v>
      </c>
    </row>
    <row r="106" spans="1:26" x14ac:dyDescent="0.3">
      <c r="A106" s="84" t="s">
        <v>143</v>
      </c>
      <c r="U106" s="74"/>
      <c r="V106" s="134" t="s">
        <v>598</v>
      </c>
      <c r="W106" s="134" t="s">
        <v>593</v>
      </c>
      <c r="X106" s="134" t="s">
        <v>601</v>
      </c>
      <c r="Y106" s="383" t="s">
        <v>173</v>
      </c>
      <c r="Z106" s="88" t="s">
        <v>160</v>
      </c>
    </row>
    <row r="107" spans="1:26" x14ac:dyDescent="0.3">
      <c r="A107" s="84" t="s">
        <v>142</v>
      </c>
      <c r="U107" s="74"/>
      <c r="V107" s="134" t="s">
        <v>598</v>
      </c>
      <c r="W107" s="134" t="s">
        <v>598</v>
      </c>
      <c r="X107" s="134" t="s">
        <v>602</v>
      </c>
      <c r="Y107" s="380" t="s">
        <v>201</v>
      </c>
      <c r="Z107" s="88" t="s">
        <v>160</v>
      </c>
    </row>
    <row r="108" spans="1:26" x14ac:dyDescent="0.3">
      <c r="A108" s="84" t="s">
        <v>141</v>
      </c>
      <c r="U108" s="74"/>
      <c r="V108" s="134" t="s">
        <v>598</v>
      </c>
      <c r="W108" s="134" t="s">
        <v>167</v>
      </c>
      <c r="X108" s="134" t="s">
        <v>602</v>
      </c>
      <c r="Y108" s="382" t="s">
        <v>193</v>
      </c>
      <c r="Z108" s="88" t="s">
        <v>164</v>
      </c>
    </row>
    <row r="109" spans="1:26" x14ac:dyDescent="0.3">
      <c r="A109" s="84" t="s">
        <v>140</v>
      </c>
      <c r="U109" s="74"/>
      <c r="V109" s="134" t="s">
        <v>167</v>
      </c>
      <c r="W109" s="134" t="s">
        <v>591</v>
      </c>
      <c r="X109" s="134" t="s">
        <v>602</v>
      </c>
      <c r="Y109" s="382" t="s">
        <v>185</v>
      </c>
      <c r="Z109" s="88"/>
    </row>
    <row r="110" spans="1:26" x14ac:dyDescent="0.3">
      <c r="A110" s="84" t="s">
        <v>139</v>
      </c>
      <c r="U110" s="74"/>
      <c r="V110" s="134" t="s">
        <v>167</v>
      </c>
      <c r="W110" s="134" t="s">
        <v>603</v>
      </c>
      <c r="X110" s="134" t="s">
        <v>602</v>
      </c>
      <c r="Y110" s="382" t="s">
        <v>181</v>
      </c>
      <c r="Z110" s="88" t="s">
        <v>163</v>
      </c>
    </row>
    <row r="111" spans="1:26" x14ac:dyDescent="0.3">
      <c r="A111" s="84" t="s">
        <v>138</v>
      </c>
      <c r="U111" s="74"/>
      <c r="V111" s="134" t="s">
        <v>167</v>
      </c>
      <c r="W111" s="134" t="s">
        <v>604</v>
      </c>
      <c r="X111" s="134" t="s">
        <v>602</v>
      </c>
      <c r="Y111" s="382" t="s">
        <v>177</v>
      </c>
      <c r="Z111" s="88"/>
    </row>
    <row r="112" spans="1:26" x14ac:dyDescent="0.3">
      <c r="A112" s="84" t="s">
        <v>137</v>
      </c>
      <c r="U112" s="74"/>
      <c r="V112" s="134" t="s">
        <v>167</v>
      </c>
      <c r="W112" s="134" t="s">
        <v>597</v>
      </c>
      <c r="X112" s="134" t="s">
        <v>602</v>
      </c>
      <c r="Y112" s="382" t="s">
        <v>175</v>
      </c>
      <c r="Z112" s="88" t="s">
        <v>162</v>
      </c>
    </row>
    <row r="113" spans="1:26" x14ac:dyDescent="0.3">
      <c r="A113" s="84" t="s">
        <v>136</v>
      </c>
      <c r="U113" s="74"/>
      <c r="V113" s="134" t="s">
        <v>167</v>
      </c>
      <c r="W113" s="134" t="s">
        <v>593</v>
      </c>
      <c r="X113" s="134" t="s">
        <v>602</v>
      </c>
      <c r="Y113" s="383" t="s">
        <v>173</v>
      </c>
      <c r="Z113" s="134" t="s">
        <v>161</v>
      </c>
    </row>
    <row r="114" spans="1:26" x14ac:dyDescent="0.3">
      <c r="A114" s="84" t="s">
        <v>135</v>
      </c>
      <c r="U114" s="74"/>
      <c r="V114" s="134" t="s">
        <v>167</v>
      </c>
      <c r="W114" s="134" t="s">
        <v>595</v>
      </c>
      <c r="X114" s="86" t="s">
        <v>167</v>
      </c>
      <c r="Y114" s="87" t="s">
        <v>201</v>
      </c>
      <c r="Z114" s="86"/>
    </row>
    <row r="115" spans="1:26" x14ac:dyDescent="0.3">
      <c r="A115" s="84" t="s">
        <v>134</v>
      </c>
      <c r="U115" s="74"/>
      <c r="V115" s="134" t="s">
        <v>167</v>
      </c>
      <c r="W115" s="134" t="s">
        <v>590</v>
      </c>
      <c r="X115" s="86" t="s">
        <v>167</v>
      </c>
      <c r="Y115" s="87" t="s">
        <v>193</v>
      </c>
      <c r="Z115" s="86"/>
    </row>
    <row r="116" spans="1:26" x14ac:dyDescent="0.3">
      <c r="A116" s="84" t="s">
        <v>133</v>
      </c>
      <c r="U116" s="74"/>
      <c r="V116" s="134" t="s">
        <v>167</v>
      </c>
      <c r="W116" s="134" t="s">
        <v>600</v>
      </c>
      <c r="X116" s="86" t="s">
        <v>167</v>
      </c>
      <c r="Y116" s="87" t="s">
        <v>185</v>
      </c>
      <c r="Z116" s="86"/>
    </row>
    <row r="117" spans="1:26" x14ac:dyDescent="0.3">
      <c r="A117" s="84" t="s">
        <v>132</v>
      </c>
      <c r="U117" s="74"/>
      <c r="V117" s="134" t="s">
        <v>167</v>
      </c>
      <c r="W117" s="134" t="s">
        <v>594</v>
      </c>
      <c r="X117" s="86" t="s">
        <v>167</v>
      </c>
      <c r="Y117" s="87" t="s">
        <v>181</v>
      </c>
      <c r="Z117" s="86"/>
    </row>
    <row r="118" spans="1:26" x14ac:dyDescent="0.3">
      <c r="A118" s="84" t="s">
        <v>131</v>
      </c>
      <c r="U118" s="74"/>
      <c r="V118" s="134" t="s">
        <v>167</v>
      </c>
      <c r="W118" s="134" t="s">
        <v>592</v>
      </c>
      <c r="X118" s="86" t="s">
        <v>167</v>
      </c>
      <c r="Y118" s="87" t="s">
        <v>177</v>
      </c>
      <c r="Z118" s="86"/>
    </row>
    <row r="119" spans="1:26" x14ac:dyDescent="0.3">
      <c r="A119" s="84" t="s">
        <v>130</v>
      </c>
      <c r="U119" s="74"/>
      <c r="V119" s="134" t="s">
        <v>167</v>
      </c>
      <c r="W119" s="134" t="s">
        <v>596</v>
      </c>
      <c r="X119" s="86" t="s">
        <v>167</v>
      </c>
      <c r="Y119" s="89" t="s">
        <v>646</v>
      </c>
      <c r="Z119" s="86"/>
    </row>
    <row r="120" spans="1:26" x14ac:dyDescent="0.3">
      <c r="A120" s="84" t="s">
        <v>129</v>
      </c>
      <c r="U120" s="74"/>
      <c r="V120" s="134" t="s">
        <v>167</v>
      </c>
      <c r="W120" s="134" t="s">
        <v>599</v>
      </c>
      <c r="X120" s="86" t="s">
        <v>167</v>
      </c>
      <c r="Y120" s="89" t="s">
        <v>647</v>
      </c>
      <c r="Z120" s="86"/>
    </row>
    <row r="121" spans="1:26" x14ac:dyDescent="0.3">
      <c r="A121" s="84" t="s">
        <v>128</v>
      </c>
      <c r="U121" s="74"/>
      <c r="V121" s="134" t="s">
        <v>167</v>
      </c>
      <c r="W121" s="134" t="s">
        <v>601</v>
      </c>
      <c r="X121" s="86" t="s">
        <v>167</v>
      </c>
      <c r="Y121" s="87" t="s">
        <v>173</v>
      </c>
      <c r="Z121" s="86"/>
    </row>
    <row r="122" spans="1:26" x14ac:dyDescent="0.3">
      <c r="A122" s="84" t="s">
        <v>127</v>
      </c>
      <c r="U122" s="74"/>
      <c r="V122" s="134" t="s">
        <v>167</v>
      </c>
      <c r="W122" s="134" t="s">
        <v>602</v>
      </c>
      <c r="X122" s="396"/>
      <c r="Y122" s="83"/>
      <c r="Z122" s="82"/>
    </row>
    <row r="123" spans="1:26" x14ac:dyDescent="0.3">
      <c r="A123" s="84" t="s">
        <v>126</v>
      </c>
      <c r="U123" s="74"/>
      <c r="V123" s="134" t="s">
        <v>167</v>
      </c>
      <c r="W123" s="134" t="s">
        <v>584</v>
      </c>
      <c r="X123" s="396"/>
      <c r="Y123" s="83"/>
      <c r="Z123" s="82"/>
    </row>
    <row r="124" spans="1:26" x14ac:dyDescent="0.3">
      <c r="A124" s="84" t="s">
        <v>125</v>
      </c>
      <c r="U124" s="74"/>
      <c r="V124" s="134" t="s">
        <v>167</v>
      </c>
      <c r="W124" s="134" t="s">
        <v>589</v>
      </c>
      <c r="X124" s="396"/>
      <c r="Y124" s="83"/>
      <c r="Z124" s="82"/>
    </row>
    <row r="125" spans="1:26" x14ac:dyDescent="0.3">
      <c r="A125" s="84" t="s">
        <v>124</v>
      </c>
      <c r="U125" s="74"/>
      <c r="V125" s="134" t="s">
        <v>167</v>
      </c>
      <c r="W125" s="134" t="s">
        <v>598</v>
      </c>
      <c r="X125" s="396"/>
      <c r="Y125" s="83"/>
      <c r="Z125" s="82"/>
    </row>
    <row r="126" spans="1:26" x14ac:dyDescent="0.3">
      <c r="A126" s="84" t="s">
        <v>123</v>
      </c>
      <c r="U126" s="74"/>
      <c r="V126" s="134" t="s">
        <v>167</v>
      </c>
      <c r="W126" s="134" t="s">
        <v>167</v>
      </c>
      <c r="X126" s="396"/>
      <c r="Y126" s="83"/>
      <c r="Z126" s="82"/>
    </row>
    <row r="127" spans="1:26" x14ac:dyDescent="0.3">
      <c r="A127" s="84" t="s">
        <v>122</v>
      </c>
      <c r="U127" s="74"/>
      <c r="V127" s="78"/>
      <c r="W127" s="77"/>
      <c r="X127" s="396"/>
      <c r="Y127" s="83"/>
      <c r="Z127" s="82"/>
    </row>
    <row r="128" spans="1:26" x14ac:dyDescent="0.3">
      <c r="A128" s="84" t="s">
        <v>121</v>
      </c>
      <c r="U128" s="74"/>
      <c r="V128" s="78"/>
      <c r="W128" s="77"/>
      <c r="X128" s="396"/>
      <c r="Y128" s="83"/>
      <c r="Z128" s="82"/>
    </row>
    <row r="129" spans="1:26" x14ac:dyDescent="0.3">
      <c r="A129" s="84" t="s">
        <v>120</v>
      </c>
      <c r="U129" s="74"/>
      <c r="V129" s="78"/>
      <c r="W129" s="77"/>
      <c r="X129" s="396"/>
      <c r="Y129" s="83"/>
      <c r="Z129" s="82"/>
    </row>
    <row r="130" spans="1:26" x14ac:dyDescent="0.3">
      <c r="A130" s="84" t="s">
        <v>119</v>
      </c>
      <c r="U130" s="74"/>
      <c r="V130" s="78"/>
      <c r="W130" s="77"/>
      <c r="X130" s="396"/>
      <c r="Y130" s="83"/>
      <c r="Z130" s="82"/>
    </row>
    <row r="131" spans="1:26" x14ac:dyDescent="0.3">
      <c r="A131" s="84" t="s">
        <v>118</v>
      </c>
      <c r="U131" s="74"/>
      <c r="V131" s="78"/>
      <c r="W131" s="77"/>
      <c r="X131" s="396"/>
      <c r="Y131" s="83"/>
      <c r="Z131" s="82"/>
    </row>
    <row r="132" spans="1:26" x14ac:dyDescent="0.3">
      <c r="A132" s="84" t="s">
        <v>117</v>
      </c>
      <c r="U132" s="74"/>
      <c r="V132" s="78"/>
      <c r="W132" s="77"/>
      <c r="X132" s="396"/>
      <c r="Y132" s="83"/>
      <c r="Z132" s="82"/>
    </row>
    <row r="133" spans="1:26" x14ac:dyDescent="0.3">
      <c r="A133" s="84" t="s">
        <v>116</v>
      </c>
      <c r="U133" s="74"/>
      <c r="V133" s="78"/>
      <c r="W133" s="77"/>
      <c r="X133" s="396"/>
      <c r="Y133" s="83"/>
      <c r="Z133" s="82"/>
    </row>
    <row r="134" spans="1:26" x14ac:dyDescent="0.3">
      <c r="A134" s="84" t="s">
        <v>648</v>
      </c>
      <c r="U134" s="74"/>
      <c r="V134" s="78"/>
      <c r="W134" s="77"/>
      <c r="X134" s="396"/>
      <c r="Y134" s="83"/>
      <c r="Z134" s="82"/>
    </row>
    <row r="135" spans="1:26" x14ac:dyDescent="0.3">
      <c r="A135" s="84" t="s">
        <v>649</v>
      </c>
      <c r="U135" s="74"/>
      <c r="V135" s="78"/>
      <c r="W135" s="77"/>
      <c r="X135" s="396"/>
      <c r="Y135" s="83"/>
      <c r="Z135" s="82"/>
    </row>
    <row r="136" spans="1:26" x14ac:dyDescent="0.3">
      <c r="A136" s="84" t="s">
        <v>650</v>
      </c>
      <c r="U136" s="74"/>
      <c r="V136" s="78"/>
      <c r="W136" s="77"/>
      <c r="X136" s="396"/>
      <c r="Y136" s="83"/>
      <c r="Z136" s="82"/>
    </row>
    <row r="137" spans="1:26" x14ac:dyDescent="0.3">
      <c r="A137" s="84" t="s">
        <v>651</v>
      </c>
      <c r="U137" s="74"/>
      <c r="V137" s="78"/>
      <c r="W137" s="77"/>
      <c r="X137" s="396"/>
      <c r="Y137" s="83"/>
      <c r="Z137" s="82"/>
    </row>
    <row r="138" spans="1:26" x14ac:dyDescent="0.3">
      <c r="A138" s="84" t="s">
        <v>652</v>
      </c>
      <c r="U138" s="74"/>
      <c r="V138" s="78"/>
      <c r="W138" s="77"/>
      <c r="X138" s="396"/>
      <c r="Y138" s="83"/>
      <c r="Z138" s="82"/>
    </row>
    <row r="139" spans="1:26" x14ac:dyDescent="0.3">
      <c r="A139" s="84" t="s">
        <v>653</v>
      </c>
      <c r="U139" s="74"/>
      <c r="V139" s="78"/>
      <c r="W139" s="77"/>
      <c r="X139" s="396"/>
      <c r="Y139" s="83"/>
      <c r="Z139" s="82"/>
    </row>
    <row r="140" spans="1:26" x14ac:dyDescent="0.3">
      <c r="A140" s="84" t="s">
        <v>654</v>
      </c>
      <c r="U140" s="74"/>
      <c r="V140" s="78"/>
      <c r="W140" s="77"/>
      <c r="X140" s="396"/>
      <c r="Y140" s="83"/>
      <c r="Z140" s="82"/>
    </row>
    <row r="141" spans="1:26" x14ac:dyDescent="0.3">
      <c r="A141" s="84" t="s">
        <v>655</v>
      </c>
      <c r="U141" s="74"/>
      <c r="V141" s="78"/>
      <c r="W141" s="77"/>
      <c r="X141" s="396"/>
      <c r="Y141" s="83"/>
      <c r="Z141" s="82"/>
    </row>
    <row r="142" spans="1:26" x14ac:dyDescent="0.3">
      <c r="A142" s="84" t="s">
        <v>656</v>
      </c>
      <c r="U142" s="74"/>
      <c r="V142" s="78"/>
      <c r="W142" s="77"/>
      <c r="X142" s="396"/>
      <c r="Y142" s="83"/>
      <c r="Z142" s="82"/>
    </row>
    <row r="143" spans="1:26" x14ac:dyDescent="0.3">
      <c r="A143" s="84" t="s">
        <v>657</v>
      </c>
      <c r="U143" s="74"/>
      <c r="V143" s="78"/>
      <c r="W143" s="77"/>
      <c r="X143" s="396"/>
      <c r="Y143" s="83"/>
      <c r="Z143" s="82"/>
    </row>
    <row r="144" spans="1:26" x14ac:dyDescent="0.3">
      <c r="A144" s="84" t="s">
        <v>658</v>
      </c>
      <c r="U144" s="74"/>
      <c r="V144" s="78"/>
      <c r="W144" s="77"/>
      <c r="X144" s="396"/>
      <c r="Y144" s="83"/>
      <c r="Z144" s="82"/>
    </row>
    <row r="145" spans="1:26" x14ac:dyDescent="0.3">
      <c r="A145" s="84" t="s">
        <v>659</v>
      </c>
      <c r="U145" s="74"/>
      <c r="V145" s="78"/>
      <c r="W145" s="77"/>
      <c r="X145" s="396"/>
      <c r="Y145" s="83"/>
      <c r="Z145" s="82"/>
    </row>
    <row r="146" spans="1:26" x14ac:dyDescent="0.3">
      <c r="A146" s="84" t="s">
        <v>660</v>
      </c>
      <c r="U146" s="74"/>
      <c r="V146" s="78"/>
      <c r="W146" s="77"/>
      <c r="X146" s="396"/>
      <c r="Y146" s="83"/>
      <c r="Z146" s="82"/>
    </row>
    <row r="147" spans="1:26" x14ac:dyDescent="0.3">
      <c r="A147" s="84" t="s">
        <v>661</v>
      </c>
      <c r="U147" s="74"/>
      <c r="V147" s="78"/>
      <c r="W147" s="77"/>
      <c r="X147" s="396"/>
      <c r="Y147" s="83"/>
      <c r="Z147" s="82"/>
    </row>
    <row r="148" spans="1:26" x14ac:dyDescent="0.3">
      <c r="A148" s="84" t="s">
        <v>662</v>
      </c>
      <c r="U148" s="74"/>
      <c r="V148" s="78"/>
      <c r="W148" s="77"/>
      <c r="X148" s="396"/>
      <c r="Y148" s="83"/>
      <c r="Z148" s="82"/>
    </row>
    <row r="149" spans="1:26" x14ac:dyDescent="0.3">
      <c r="A149" s="84" t="s">
        <v>663</v>
      </c>
      <c r="U149" s="74"/>
      <c r="V149" s="78"/>
      <c r="W149" s="77"/>
      <c r="X149" s="396"/>
      <c r="Y149" s="83"/>
      <c r="Z149" s="82"/>
    </row>
    <row r="150" spans="1:26" x14ac:dyDescent="0.3">
      <c r="A150" s="84" t="s">
        <v>664</v>
      </c>
      <c r="U150" s="74"/>
      <c r="V150" s="78"/>
      <c r="W150" s="77"/>
      <c r="X150" s="396"/>
      <c r="Y150" s="83"/>
      <c r="Z150" s="82"/>
    </row>
    <row r="151" spans="1:26" x14ac:dyDescent="0.3">
      <c r="A151" s="84" t="s">
        <v>665</v>
      </c>
      <c r="U151" s="74"/>
      <c r="V151" s="78"/>
      <c r="W151" s="77"/>
      <c r="X151" s="396"/>
      <c r="Y151" s="83"/>
      <c r="Z151" s="82"/>
    </row>
    <row r="152" spans="1:26" x14ac:dyDescent="0.3">
      <c r="A152" s="84" t="s">
        <v>666</v>
      </c>
      <c r="U152" s="74"/>
      <c r="V152" s="78"/>
      <c r="W152" s="77"/>
      <c r="X152" s="396"/>
      <c r="Y152" s="83"/>
      <c r="Z152" s="82"/>
    </row>
    <row r="153" spans="1:26" x14ac:dyDescent="0.3">
      <c r="A153" s="84" t="s">
        <v>667</v>
      </c>
      <c r="U153" s="74"/>
      <c r="V153" s="78"/>
      <c r="W153" s="77"/>
      <c r="X153" s="396"/>
      <c r="Y153" s="83"/>
      <c r="Z153" s="82"/>
    </row>
    <row r="154" spans="1:26" x14ac:dyDescent="0.3">
      <c r="A154" s="84" t="s">
        <v>668</v>
      </c>
      <c r="U154" s="74"/>
      <c r="V154" s="78"/>
      <c r="W154" s="77"/>
      <c r="X154" s="396"/>
      <c r="Y154" s="83"/>
      <c r="Z154" s="82"/>
    </row>
    <row r="155" spans="1:26" x14ac:dyDescent="0.3">
      <c r="A155" s="84" t="s">
        <v>669</v>
      </c>
      <c r="U155" s="74"/>
      <c r="V155" s="78"/>
      <c r="W155" s="77"/>
      <c r="X155" s="396"/>
      <c r="Y155" s="83"/>
      <c r="Z155" s="82"/>
    </row>
    <row r="156" spans="1:26" x14ac:dyDescent="0.3">
      <c r="A156" s="84" t="s">
        <v>670</v>
      </c>
      <c r="U156" s="74"/>
      <c r="V156" s="78"/>
      <c r="W156" s="77"/>
      <c r="X156" s="396"/>
      <c r="Y156" s="83"/>
      <c r="Z156" s="82"/>
    </row>
    <row r="157" spans="1:26" x14ac:dyDescent="0.3">
      <c r="A157" s="84" t="s">
        <v>671</v>
      </c>
      <c r="U157" s="74"/>
      <c r="V157" s="78"/>
      <c r="W157" s="77"/>
      <c r="X157" s="396"/>
      <c r="Y157" s="83"/>
      <c r="Z157" s="82"/>
    </row>
    <row r="158" spans="1:26" x14ac:dyDescent="0.3">
      <c r="A158" s="84" t="s">
        <v>672</v>
      </c>
      <c r="U158" s="74"/>
      <c r="V158" s="78"/>
      <c r="W158" s="77"/>
      <c r="X158" s="396"/>
      <c r="Y158" s="83"/>
      <c r="Z158" s="82"/>
    </row>
    <row r="159" spans="1:26" x14ac:dyDescent="0.3">
      <c r="A159" s="84" t="s">
        <v>673</v>
      </c>
      <c r="U159" s="74"/>
      <c r="V159" s="78"/>
      <c r="W159" s="77"/>
      <c r="X159" s="396"/>
      <c r="Y159" s="83"/>
      <c r="Z159" s="82"/>
    </row>
    <row r="160" spans="1:26" x14ac:dyDescent="0.3">
      <c r="A160" s="84" t="s">
        <v>674</v>
      </c>
      <c r="U160" s="74"/>
      <c r="V160" s="78"/>
      <c r="W160" s="77"/>
      <c r="X160" s="396"/>
      <c r="Y160" s="83"/>
      <c r="Z160" s="82"/>
    </row>
    <row r="161" spans="1:26" x14ac:dyDescent="0.3">
      <c r="A161" s="84" t="s">
        <v>675</v>
      </c>
      <c r="U161" s="74"/>
      <c r="V161" s="78"/>
      <c r="W161" s="77"/>
      <c r="X161" s="396"/>
      <c r="Y161" s="83"/>
      <c r="Z161" s="82"/>
    </row>
    <row r="162" spans="1:26" x14ac:dyDescent="0.3">
      <c r="A162" s="84" t="s">
        <v>676</v>
      </c>
      <c r="U162" s="74"/>
      <c r="V162" s="78"/>
      <c r="W162" s="77"/>
      <c r="X162" s="396"/>
      <c r="Y162" s="83"/>
      <c r="Z162" s="82"/>
    </row>
    <row r="163" spans="1:26" x14ac:dyDescent="0.3">
      <c r="A163" s="84" t="s">
        <v>677</v>
      </c>
      <c r="U163" s="74"/>
      <c r="V163" s="78"/>
      <c r="W163" s="77"/>
      <c r="X163" s="396"/>
      <c r="Y163" s="83"/>
      <c r="Z163" s="82"/>
    </row>
    <row r="164" spans="1:26" x14ac:dyDescent="0.3">
      <c r="A164" s="84" t="s">
        <v>678</v>
      </c>
      <c r="U164" s="74"/>
      <c r="V164" s="78"/>
      <c r="W164" s="77"/>
      <c r="X164" s="396"/>
      <c r="Y164" s="83"/>
      <c r="Z164" s="82"/>
    </row>
    <row r="165" spans="1:26" x14ac:dyDescent="0.3">
      <c r="A165" s="84" t="s">
        <v>679</v>
      </c>
      <c r="U165" s="74"/>
      <c r="V165" s="78"/>
      <c r="W165" s="77"/>
      <c r="X165" s="377"/>
      <c r="Y165" s="79"/>
    </row>
    <row r="166" spans="1:26" x14ac:dyDescent="0.3">
      <c r="A166" s="84" t="s">
        <v>680</v>
      </c>
      <c r="U166" s="74"/>
      <c r="V166" s="78"/>
      <c r="W166" s="77"/>
      <c r="X166" s="377"/>
      <c r="Y166" s="79"/>
    </row>
    <row r="167" spans="1:26" x14ac:dyDescent="0.3">
      <c r="A167" s="84" t="s">
        <v>681</v>
      </c>
      <c r="U167" s="74"/>
      <c r="V167" s="78"/>
      <c r="W167" s="77"/>
      <c r="X167" s="377"/>
      <c r="Y167" s="79"/>
    </row>
    <row r="168" spans="1:26" x14ac:dyDescent="0.3">
      <c r="A168" s="84" t="s">
        <v>682</v>
      </c>
      <c r="U168" s="74"/>
      <c r="V168" s="78"/>
      <c r="W168" s="77"/>
      <c r="X168" s="377"/>
      <c r="Y168" s="79"/>
    </row>
    <row r="169" spans="1:26" x14ac:dyDescent="0.3">
      <c r="A169" s="84" t="s">
        <v>683</v>
      </c>
      <c r="U169" s="74"/>
      <c r="V169" s="78"/>
      <c r="W169" s="77"/>
      <c r="X169" s="377"/>
      <c r="Y169" s="79"/>
    </row>
    <row r="170" spans="1:26" x14ac:dyDescent="0.3">
      <c r="A170" s="84" t="s">
        <v>684</v>
      </c>
      <c r="U170" s="74"/>
      <c r="V170" s="78"/>
      <c r="W170" s="77"/>
      <c r="X170" s="377"/>
      <c r="Y170" s="81"/>
    </row>
    <row r="171" spans="1:26" x14ac:dyDescent="0.3">
      <c r="A171" s="84" t="s">
        <v>685</v>
      </c>
      <c r="U171" s="74"/>
      <c r="V171" s="78"/>
      <c r="W171" s="77"/>
      <c r="X171" s="377"/>
      <c r="Y171" s="81"/>
    </row>
    <row r="172" spans="1:26" x14ac:dyDescent="0.3">
      <c r="A172" s="84" t="s">
        <v>686</v>
      </c>
      <c r="U172" s="74"/>
      <c r="V172" s="78"/>
      <c r="W172" s="77"/>
      <c r="X172" s="377"/>
      <c r="Y172" s="79"/>
    </row>
    <row r="173" spans="1:26" x14ac:dyDescent="0.3">
      <c r="A173" s="84" t="s">
        <v>687</v>
      </c>
      <c r="U173" s="74"/>
      <c r="V173" s="78"/>
      <c r="W173" s="77"/>
      <c r="X173" s="75"/>
    </row>
    <row r="174" spans="1:26" x14ac:dyDescent="0.3">
      <c r="A174" s="84" t="s">
        <v>688</v>
      </c>
      <c r="U174" s="74"/>
      <c r="V174" s="78"/>
      <c r="W174" s="77"/>
      <c r="X174" s="75"/>
    </row>
    <row r="175" spans="1:26" x14ac:dyDescent="0.3">
      <c r="A175" s="84" t="s">
        <v>689</v>
      </c>
      <c r="U175" s="74"/>
      <c r="V175" s="78"/>
      <c r="W175" s="77"/>
      <c r="X175" s="75"/>
    </row>
    <row r="176" spans="1:26" x14ac:dyDescent="0.3">
      <c r="A176" s="84" t="s">
        <v>690</v>
      </c>
      <c r="U176" s="74"/>
      <c r="V176" s="78"/>
      <c r="W176" s="77"/>
      <c r="X176" s="75"/>
    </row>
    <row r="177" spans="1:24" x14ac:dyDescent="0.3">
      <c r="A177" s="84" t="s">
        <v>691</v>
      </c>
      <c r="U177" s="74"/>
      <c r="V177" s="78"/>
      <c r="W177" s="77"/>
      <c r="X177" s="75"/>
    </row>
    <row r="178" spans="1:24" x14ac:dyDescent="0.3">
      <c r="A178" s="84" t="s">
        <v>692</v>
      </c>
      <c r="U178" s="74"/>
      <c r="V178" s="78"/>
      <c r="W178" s="77"/>
      <c r="X178" s="75"/>
    </row>
    <row r="179" spans="1:24" x14ac:dyDescent="0.3">
      <c r="A179" s="84" t="s">
        <v>693</v>
      </c>
      <c r="U179" s="74"/>
      <c r="V179" s="78"/>
      <c r="W179" s="77"/>
      <c r="X179" s="75"/>
    </row>
    <row r="180" spans="1:24" x14ac:dyDescent="0.3">
      <c r="A180" s="84" t="s">
        <v>694</v>
      </c>
      <c r="U180" s="74"/>
      <c r="V180" s="78"/>
      <c r="W180" s="77"/>
      <c r="X180" s="75"/>
    </row>
    <row r="181" spans="1:24" x14ac:dyDescent="0.3">
      <c r="A181" s="84" t="s">
        <v>695</v>
      </c>
      <c r="U181" s="74"/>
      <c r="V181" s="78"/>
      <c r="W181" s="77"/>
      <c r="X181" s="75"/>
    </row>
    <row r="182" spans="1:24" x14ac:dyDescent="0.3">
      <c r="A182" s="84" t="s">
        <v>696</v>
      </c>
      <c r="U182" s="74"/>
      <c r="V182" s="78"/>
      <c r="W182" s="77"/>
      <c r="X182" s="75"/>
    </row>
    <row r="183" spans="1:24" x14ac:dyDescent="0.3">
      <c r="A183" s="84" t="s">
        <v>697</v>
      </c>
      <c r="U183" s="74"/>
      <c r="V183" s="78"/>
      <c r="W183" s="77"/>
      <c r="X183" s="75"/>
    </row>
    <row r="184" spans="1:24" x14ac:dyDescent="0.3">
      <c r="A184" s="84" t="s">
        <v>698</v>
      </c>
      <c r="U184" s="74"/>
      <c r="V184" s="78"/>
      <c r="W184" s="77"/>
      <c r="X184" s="75"/>
    </row>
    <row r="185" spans="1:24" x14ac:dyDescent="0.3">
      <c r="A185" s="84" t="s">
        <v>699</v>
      </c>
      <c r="U185" s="74"/>
      <c r="V185" s="78"/>
      <c r="W185" s="77"/>
      <c r="X185" s="75"/>
    </row>
    <row r="186" spans="1:24" x14ac:dyDescent="0.3">
      <c r="V186" s="78"/>
      <c r="W186" s="77"/>
    </row>
    <row r="187" spans="1:24" x14ac:dyDescent="0.3">
      <c r="V187" s="78"/>
      <c r="W187" s="77"/>
    </row>
    <row r="188" spans="1:24" x14ac:dyDescent="0.3">
      <c r="V188" s="78"/>
      <c r="W188" s="77"/>
    </row>
    <row r="189" spans="1:24" x14ac:dyDescent="0.3">
      <c r="V189" s="78"/>
      <c r="W189" s="77"/>
    </row>
    <row r="190" spans="1:24" x14ac:dyDescent="0.3">
      <c r="V190" s="78"/>
      <c r="W190" s="77"/>
    </row>
    <row r="191" spans="1:24" x14ac:dyDescent="0.3">
      <c r="V191" s="78"/>
      <c r="W191" s="77"/>
    </row>
    <row r="192" spans="1:24" x14ac:dyDescent="0.3">
      <c r="V192" s="78"/>
      <c r="W192" s="77"/>
    </row>
    <row r="193" spans="22:23" x14ac:dyDescent="0.3">
      <c r="V193" s="78"/>
      <c r="W193" s="77"/>
    </row>
    <row r="194" spans="22:23" x14ac:dyDescent="0.3">
      <c r="V194" s="78"/>
      <c r="W194" s="77"/>
    </row>
    <row r="195" spans="22:23" x14ac:dyDescent="0.3">
      <c r="V195" s="78"/>
      <c r="W195" s="77"/>
    </row>
    <row r="196" spans="22:23" x14ac:dyDescent="0.3">
      <c r="V196" s="78"/>
      <c r="W196" s="77"/>
    </row>
    <row r="197" spans="22:23" x14ac:dyDescent="0.3">
      <c r="V197" s="78"/>
      <c r="W197" s="77"/>
    </row>
    <row r="198" spans="22:23" x14ac:dyDescent="0.3">
      <c r="V198" s="78"/>
      <c r="W198" s="77"/>
    </row>
    <row r="199" spans="22:23" x14ac:dyDescent="0.3">
      <c r="V199" s="78"/>
      <c r="W199" s="77"/>
    </row>
    <row r="200" spans="22:23" x14ac:dyDescent="0.3">
      <c r="V200" s="78"/>
      <c r="W200" s="77"/>
    </row>
    <row r="201" spans="22:23" x14ac:dyDescent="0.3">
      <c r="V201" s="78"/>
      <c r="W201" s="77"/>
    </row>
    <row r="202" spans="22:23" x14ac:dyDescent="0.3">
      <c r="V202" s="78"/>
      <c r="W202" s="77"/>
    </row>
    <row r="203" spans="22:23" x14ac:dyDescent="0.3">
      <c r="V203" s="78"/>
      <c r="W203" s="77"/>
    </row>
    <row r="204" spans="22:23" x14ac:dyDescent="0.3">
      <c r="V204" s="78"/>
      <c r="W204" s="77"/>
    </row>
    <row r="205" spans="22:23" x14ac:dyDescent="0.3">
      <c r="V205" s="78"/>
      <c r="W205" s="77"/>
    </row>
    <row r="206" spans="22:23" x14ac:dyDescent="0.3">
      <c r="V206" s="78"/>
      <c r="W206" s="77"/>
    </row>
    <row r="207" spans="22:23" x14ac:dyDescent="0.3">
      <c r="V207" s="78"/>
      <c r="W207" s="77"/>
    </row>
    <row r="208" spans="22:23" x14ac:dyDescent="0.3">
      <c r="V208" s="78"/>
      <c r="W208" s="77"/>
    </row>
    <row r="209" spans="22:23" x14ac:dyDescent="0.3">
      <c r="V209" s="78"/>
      <c r="W209" s="77"/>
    </row>
    <row r="210" spans="22:23" x14ac:dyDescent="0.3">
      <c r="V210" s="78"/>
      <c r="W210" s="77"/>
    </row>
    <row r="211" spans="22:23" x14ac:dyDescent="0.3">
      <c r="V211" s="78"/>
      <c r="W211" s="77"/>
    </row>
    <row r="212" spans="22:23" x14ac:dyDescent="0.3">
      <c r="V212" s="78"/>
      <c r="W212" s="77"/>
    </row>
    <row r="213" spans="22:23" x14ac:dyDescent="0.3">
      <c r="V213" s="78"/>
      <c r="W213" s="77"/>
    </row>
    <row r="214" spans="22:23" x14ac:dyDescent="0.3">
      <c r="V214" s="78"/>
      <c r="W214" s="77"/>
    </row>
    <row r="215" spans="22:23" x14ac:dyDescent="0.3">
      <c r="V215" s="78"/>
      <c r="W215" s="77"/>
    </row>
    <row r="216" spans="22:23" x14ac:dyDescent="0.3">
      <c r="V216" s="78"/>
      <c r="W216" s="77"/>
    </row>
    <row r="217" spans="22:23" x14ac:dyDescent="0.3">
      <c r="V217" s="78"/>
      <c r="W217" s="77"/>
    </row>
    <row r="218" spans="22:23" x14ac:dyDescent="0.3">
      <c r="V218" s="78"/>
      <c r="W218" s="77"/>
    </row>
    <row r="219" spans="22:23" x14ac:dyDescent="0.3">
      <c r="V219" s="78"/>
      <c r="W219" s="77"/>
    </row>
    <row r="220" spans="22:23" x14ac:dyDescent="0.3">
      <c r="V220" s="78"/>
      <c r="W220" s="77"/>
    </row>
    <row r="221" spans="22:23" x14ac:dyDescent="0.3">
      <c r="V221" s="78"/>
      <c r="W221" s="77"/>
    </row>
    <row r="222" spans="22:23" x14ac:dyDescent="0.3">
      <c r="V222" s="78"/>
      <c r="W222" s="77"/>
    </row>
    <row r="223" spans="22:23" x14ac:dyDescent="0.3">
      <c r="V223" s="78"/>
      <c r="W223" s="77"/>
    </row>
    <row r="224" spans="22:23" x14ac:dyDescent="0.3">
      <c r="V224" s="78"/>
      <c r="W224" s="77"/>
    </row>
    <row r="225" spans="22:23" x14ac:dyDescent="0.3">
      <c r="V225" s="78"/>
      <c r="W225" s="77"/>
    </row>
    <row r="226" spans="22:23" x14ac:dyDescent="0.3">
      <c r="V226" s="78"/>
      <c r="W226" s="77"/>
    </row>
    <row r="227" spans="22:23" x14ac:dyDescent="0.3">
      <c r="V227" s="78"/>
      <c r="W227" s="77"/>
    </row>
    <row r="228" spans="22:23" x14ac:dyDescent="0.3">
      <c r="V228" s="78"/>
      <c r="W228" s="77"/>
    </row>
    <row r="229" spans="22:23" x14ac:dyDescent="0.3">
      <c r="V229" s="78"/>
      <c r="W229" s="77"/>
    </row>
    <row r="230" spans="22:23" x14ac:dyDescent="0.3">
      <c r="V230" s="78"/>
      <c r="W230" s="77"/>
    </row>
    <row r="231" spans="22:23" x14ac:dyDescent="0.3">
      <c r="V231" s="78"/>
      <c r="W231" s="77"/>
    </row>
    <row r="232" spans="22:23" x14ac:dyDescent="0.3">
      <c r="V232" s="78"/>
      <c r="W232" s="77"/>
    </row>
    <row r="233" spans="22:23" x14ac:dyDescent="0.3">
      <c r="V233" s="78"/>
      <c r="W233" s="77"/>
    </row>
    <row r="234" spans="22:23" x14ac:dyDescent="0.3">
      <c r="V234" s="78"/>
      <c r="W234" s="77"/>
    </row>
    <row r="235" spans="22:23" x14ac:dyDescent="0.3">
      <c r="V235" s="78"/>
      <c r="W235" s="77"/>
    </row>
    <row r="236" spans="22:23" x14ac:dyDescent="0.3">
      <c r="V236" s="78"/>
      <c r="W236" s="77"/>
    </row>
    <row r="237" spans="22:23" x14ac:dyDescent="0.3">
      <c r="V237" s="78"/>
      <c r="W237" s="77"/>
    </row>
    <row r="238" spans="22:23" x14ac:dyDescent="0.3">
      <c r="V238" s="78"/>
      <c r="W238" s="77"/>
    </row>
    <row r="239" spans="22:23" x14ac:dyDescent="0.3">
      <c r="V239" s="78"/>
      <c r="W239" s="77"/>
    </row>
    <row r="240" spans="22:23" x14ac:dyDescent="0.3">
      <c r="V240" s="78"/>
      <c r="W240" s="77"/>
    </row>
    <row r="241" spans="22:23" x14ac:dyDescent="0.3">
      <c r="V241" s="78"/>
      <c r="W241" s="77"/>
    </row>
    <row r="242" spans="22:23" x14ac:dyDescent="0.3">
      <c r="V242" s="78"/>
      <c r="W242" s="77"/>
    </row>
    <row r="243" spans="22:23" x14ac:dyDescent="0.3">
      <c r="V243" s="78"/>
      <c r="W243" s="77"/>
    </row>
    <row r="244" spans="22:23" x14ac:dyDescent="0.3">
      <c r="V244" s="78"/>
      <c r="W244" s="77"/>
    </row>
    <row r="245" spans="22:23" x14ac:dyDescent="0.3">
      <c r="V245" s="78"/>
      <c r="W245" s="77"/>
    </row>
    <row r="246" spans="22:23" x14ac:dyDescent="0.3">
      <c r="V246" s="78"/>
      <c r="W246" s="77"/>
    </row>
    <row r="247" spans="22:23" x14ac:dyDescent="0.3">
      <c r="V247" s="78"/>
      <c r="W247" s="77"/>
    </row>
    <row r="248" spans="22:23" x14ac:dyDescent="0.3">
      <c r="V248" s="78"/>
      <c r="W248" s="77"/>
    </row>
    <row r="249" spans="22:23" x14ac:dyDescent="0.3">
      <c r="V249" s="78"/>
      <c r="W249" s="77"/>
    </row>
    <row r="250" spans="22:23" x14ac:dyDescent="0.3">
      <c r="V250" s="78"/>
      <c r="W250" s="77"/>
    </row>
    <row r="251" spans="22:23" x14ac:dyDescent="0.3">
      <c r="V251" s="78"/>
      <c r="W251" s="77"/>
    </row>
    <row r="252" spans="22:23" x14ac:dyDescent="0.3">
      <c r="V252" s="78"/>
      <c r="W252" s="77"/>
    </row>
    <row r="253" spans="22:23" x14ac:dyDescent="0.3">
      <c r="V253" s="78"/>
      <c r="W253" s="77"/>
    </row>
    <row r="254" spans="22:23" x14ac:dyDescent="0.3">
      <c r="V254" s="78"/>
      <c r="W254" s="77"/>
    </row>
    <row r="255" spans="22:23" x14ac:dyDescent="0.3">
      <c r="V255" s="78"/>
      <c r="W255" s="77"/>
    </row>
    <row r="256" spans="22:23" x14ac:dyDescent="0.3">
      <c r="V256" s="78"/>
      <c r="W256" s="77"/>
    </row>
    <row r="257" spans="22:23" x14ac:dyDescent="0.3">
      <c r="V257" s="78"/>
      <c r="W257" s="77"/>
    </row>
    <row r="258" spans="22:23" x14ac:dyDescent="0.3">
      <c r="V258" s="78"/>
      <c r="W258" s="77"/>
    </row>
    <row r="259" spans="22:23" x14ac:dyDescent="0.3">
      <c r="V259" s="78"/>
      <c r="W259" s="77"/>
    </row>
    <row r="260" spans="22:23" x14ac:dyDescent="0.3">
      <c r="V260" s="78"/>
      <c r="W260" s="77"/>
    </row>
    <row r="261" spans="22:23" x14ac:dyDescent="0.3">
      <c r="V261" s="78"/>
      <c r="W261" s="77"/>
    </row>
    <row r="262" spans="22:23" x14ac:dyDescent="0.3">
      <c r="V262" s="78"/>
      <c r="W262" s="77"/>
    </row>
    <row r="263" spans="22:23" x14ac:dyDescent="0.3">
      <c r="V263" s="78"/>
      <c r="W263" s="77"/>
    </row>
    <row r="264" spans="22:23" x14ac:dyDescent="0.3">
      <c r="V264" s="78"/>
      <c r="W264" s="77"/>
    </row>
    <row r="265" spans="22:23" x14ac:dyDescent="0.3">
      <c r="V265" s="78"/>
      <c r="W265" s="77"/>
    </row>
    <row r="266" spans="22:23" x14ac:dyDescent="0.3">
      <c r="V266" s="78"/>
      <c r="W266" s="77"/>
    </row>
    <row r="267" spans="22:23" x14ac:dyDescent="0.3">
      <c r="V267" s="78"/>
      <c r="W267" s="77"/>
    </row>
    <row r="268" spans="22:23" x14ac:dyDescent="0.3">
      <c r="V268" s="78"/>
      <c r="W268" s="77"/>
    </row>
    <row r="269" spans="22:23" x14ac:dyDescent="0.3">
      <c r="V269" s="78"/>
      <c r="W269" s="77"/>
    </row>
    <row r="270" spans="22:23" x14ac:dyDescent="0.3">
      <c r="V270" s="78"/>
      <c r="W270" s="77"/>
    </row>
    <row r="271" spans="22:23" x14ac:dyDescent="0.3">
      <c r="V271" s="78"/>
      <c r="W271" s="77"/>
    </row>
    <row r="272" spans="22:23" x14ac:dyDescent="0.3">
      <c r="V272" s="78"/>
      <c r="W272" s="77"/>
    </row>
    <row r="273" spans="22:23" x14ac:dyDescent="0.3">
      <c r="V273" s="78"/>
      <c r="W273" s="77"/>
    </row>
    <row r="274" spans="22:23" x14ac:dyDescent="0.3">
      <c r="V274" s="78"/>
      <c r="W274" s="77"/>
    </row>
    <row r="275" spans="22:23" x14ac:dyDescent="0.3">
      <c r="V275" s="78"/>
      <c r="W275" s="77"/>
    </row>
    <row r="276" spans="22:23" x14ac:dyDescent="0.3">
      <c r="V276" s="78"/>
      <c r="W276" s="77"/>
    </row>
    <row r="277" spans="22:23" x14ac:dyDescent="0.3">
      <c r="V277" s="78"/>
      <c r="W277" s="77"/>
    </row>
    <row r="278" spans="22:23" x14ac:dyDescent="0.3">
      <c r="V278" s="78"/>
      <c r="W278" s="77"/>
    </row>
    <row r="279" spans="22:23" x14ac:dyDescent="0.3">
      <c r="V279" s="78"/>
      <c r="W279" s="77"/>
    </row>
    <row r="280" spans="22:23" x14ac:dyDescent="0.3">
      <c r="V280" s="78"/>
      <c r="W280" s="77"/>
    </row>
    <row r="281" spans="22:23" x14ac:dyDescent="0.3">
      <c r="V281" s="78"/>
      <c r="W281" s="77"/>
    </row>
    <row r="282" spans="22:23" x14ac:dyDescent="0.3">
      <c r="V282" s="78"/>
      <c r="W282" s="77"/>
    </row>
    <row r="283" spans="22:23" x14ac:dyDescent="0.3">
      <c r="V283" s="78"/>
      <c r="W283" s="77"/>
    </row>
    <row r="284" spans="22:23" x14ac:dyDescent="0.3">
      <c r="V284" s="78"/>
      <c r="W284" s="77"/>
    </row>
    <row r="285" spans="22:23" x14ac:dyDescent="0.3">
      <c r="V285" s="78"/>
      <c r="W285" s="77"/>
    </row>
    <row r="286" spans="22:23" x14ac:dyDescent="0.3">
      <c r="V286" s="78"/>
      <c r="W286" s="77"/>
    </row>
    <row r="287" spans="22:23" x14ac:dyDescent="0.3">
      <c r="V287" s="78"/>
      <c r="W287" s="77"/>
    </row>
    <row r="288" spans="22:23" x14ac:dyDescent="0.3">
      <c r="V288" s="78"/>
      <c r="W288" s="77"/>
    </row>
    <row r="289" spans="22:23" x14ac:dyDescent="0.3">
      <c r="V289" s="78"/>
      <c r="W289" s="77"/>
    </row>
    <row r="290" spans="22:23" x14ac:dyDescent="0.3">
      <c r="V290" s="78"/>
      <c r="W290" s="77"/>
    </row>
    <row r="291" spans="22:23" x14ac:dyDescent="0.3">
      <c r="V291" s="78"/>
      <c r="W291" s="77"/>
    </row>
    <row r="292" spans="22:23" x14ac:dyDescent="0.3">
      <c r="V292" s="78"/>
      <c r="W292" s="77"/>
    </row>
    <row r="293" spans="22:23" x14ac:dyDescent="0.3">
      <c r="V293" s="78"/>
      <c r="W293" s="77"/>
    </row>
    <row r="294" spans="22:23" x14ac:dyDescent="0.3">
      <c r="V294" s="78"/>
      <c r="W294" s="77"/>
    </row>
    <row r="295" spans="22:23" x14ac:dyDescent="0.3">
      <c r="V295" s="78"/>
      <c r="W295" s="77"/>
    </row>
    <row r="296" spans="22:23" x14ac:dyDescent="0.3">
      <c r="V296" s="78"/>
      <c r="W296" s="77"/>
    </row>
    <row r="297" spans="22:23" x14ac:dyDescent="0.3">
      <c r="V297" s="78"/>
      <c r="W297" s="77"/>
    </row>
    <row r="298" spans="22:23" x14ac:dyDescent="0.3">
      <c r="V298" s="78"/>
      <c r="W298" s="77"/>
    </row>
    <row r="299" spans="22:23" x14ac:dyDescent="0.3">
      <c r="V299" s="78"/>
      <c r="W299" s="77"/>
    </row>
    <row r="300" spans="22:23" x14ac:dyDescent="0.3">
      <c r="V300" s="78"/>
      <c r="W300" s="77"/>
    </row>
    <row r="301" spans="22:23" x14ac:dyDescent="0.3">
      <c r="V301" s="78"/>
      <c r="W301" s="77"/>
    </row>
    <row r="302" spans="22:23" x14ac:dyDescent="0.3">
      <c r="V302" s="78"/>
      <c r="W302" s="77"/>
    </row>
    <row r="303" spans="22:23" x14ac:dyDescent="0.3">
      <c r="V303" s="78"/>
      <c r="W303" s="77"/>
    </row>
    <row r="304" spans="22:23" x14ac:dyDescent="0.3">
      <c r="V304" s="78"/>
      <c r="W304" s="77"/>
    </row>
    <row r="305" spans="22:23" x14ac:dyDescent="0.3">
      <c r="V305" s="78"/>
      <c r="W305" s="77"/>
    </row>
    <row r="306" spans="22:23" x14ac:dyDescent="0.3">
      <c r="V306" s="78"/>
      <c r="W306" s="77"/>
    </row>
    <row r="307" spans="22:23" x14ac:dyDescent="0.3">
      <c r="V307" s="78"/>
      <c r="W307" s="77"/>
    </row>
    <row r="308" spans="22:23" x14ac:dyDescent="0.3">
      <c r="V308" s="78"/>
      <c r="W308" s="77"/>
    </row>
    <row r="309" spans="22:23" x14ac:dyDescent="0.3">
      <c r="V309" s="78"/>
      <c r="W309" s="77"/>
    </row>
    <row r="310" spans="22:23" x14ac:dyDescent="0.3">
      <c r="V310" s="78"/>
      <c r="W310" s="77"/>
    </row>
    <row r="311" spans="22:23" x14ac:dyDescent="0.3">
      <c r="V311" s="78"/>
      <c r="W311" s="77"/>
    </row>
    <row r="312" spans="22:23" x14ac:dyDescent="0.3">
      <c r="V312" s="78"/>
      <c r="W312" s="77"/>
    </row>
    <row r="313" spans="22:23" x14ac:dyDescent="0.3">
      <c r="V313" s="78"/>
      <c r="W313" s="77"/>
    </row>
    <row r="314" spans="22:23" x14ac:dyDescent="0.3">
      <c r="V314" s="78"/>
      <c r="W314" s="77"/>
    </row>
    <row r="315" spans="22:23" x14ac:dyDescent="0.3">
      <c r="V315" s="78"/>
      <c r="W315" s="77"/>
    </row>
    <row r="316" spans="22:23" x14ac:dyDescent="0.3">
      <c r="V316" s="78"/>
      <c r="W316" s="77"/>
    </row>
    <row r="317" spans="22:23" x14ac:dyDescent="0.3">
      <c r="V317" s="78"/>
      <c r="W317" s="77"/>
    </row>
    <row r="318" spans="22:23" x14ac:dyDescent="0.3">
      <c r="V318" s="78"/>
      <c r="W318" s="77"/>
    </row>
    <row r="319" spans="22:23" x14ac:dyDescent="0.3">
      <c r="V319" s="78"/>
      <c r="W319" s="77"/>
    </row>
    <row r="320" spans="22:23" x14ac:dyDescent="0.3">
      <c r="V320" s="78"/>
      <c r="W320" s="77"/>
    </row>
    <row r="321" spans="22:23" x14ac:dyDescent="0.3">
      <c r="V321" s="78"/>
      <c r="W321" s="77"/>
    </row>
    <row r="322" spans="22:23" x14ac:dyDescent="0.3">
      <c r="V322" s="78"/>
      <c r="W322" s="77"/>
    </row>
    <row r="323" spans="22:23" x14ac:dyDescent="0.3">
      <c r="V323" s="78"/>
      <c r="W323" s="77"/>
    </row>
    <row r="324" spans="22:23" x14ac:dyDescent="0.3">
      <c r="V324" s="78"/>
      <c r="W324" s="77"/>
    </row>
    <row r="325" spans="22:23" x14ac:dyDescent="0.3">
      <c r="V325" s="78"/>
      <c r="W325" s="77"/>
    </row>
    <row r="326" spans="22:23" x14ac:dyDescent="0.3">
      <c r="V326" s="78"/>
      <c r="W326" s="77"/>
    </row>
    <row r="327" spans="22:23" x14ac:dyDescent="0.3">
      <c r="V327" s="78"/>
      <c r="W327" s="77"/>
    </row>
    <row r="328" spans="22:23" x14ac:dyDescent="0.3">
      <c r="V328" s="78"/>
      <c r="W328" s="77"/>
    </row>
    <row r="329" spans="22:23" x14ac:dyDescent="0.3">
      <c r="V329" s="78"/>
      <c r="W329" s="77"/>
    </row>
    <row r="330" spans="22:23" x14ac:dyDescent="0.3">
      <c r="V330" s="78"/>
      <c r="W330" s="77"/>
    </row>
    <row r="331" spans="22:23" x14ac:dyDescent="0.3">
      <c r="V331" s="78"/>
      <c r="W331" s="77"/>
    </row>
    <row r="332" spans="22:23" x14ac:dyDescent="0.3">
      <c r="V332" s="78"/>
      <c r="W332" s="77"/>
    </row>
    <row r="333" spans="22:23" x14ac:dyDescent="0.3">
      <c r="V333" s="78"/>
      <c r="W333" s="77"/>
    </row>
    <row r="334" spans="22:23" x14ac:dyDescent="0.3">
      <c r="V334" s="78"/>
      <c r="W334" s="77"/>
    </row>
    <row r="335" spans="22:23" x14ac:dyDescent="0.3">
      <c r="V335" s="78"/>
      <c r="W335" s="77"/>
    </row>
    <row r="336" spans="22:23" x14ac:dyDescent="0.3">
      <c r="V336" s="78"/>
      <c r="W336" s="77"/>
    </row>
    <row r="337" spans="22:23" x14ac:dyDescent="0.3">
      <c r="V337" s="78"/>
      <c r="W337" s="77"/>
    </row>
    <row r="338" spans="22:23" x14ac:dyDescent="0.3">
      <c r="V338" s="78"/>
      <c r="W338" s="77"/>
    </row>
    <row r="339" spans="22:23" x14ac:dyDescent="0.3">
      <c r="V339" s="78"/>
      <c r="W339" s="77"/>
    </row>
    <row r="340" spans="22:23" x14ac:dyDescent="0.3">
      <c r="V340" s="78"/>
      <c r="W340" s="77"/>
    </row>
    <row r="341" spans="22:23" x14ac:dyDescent="0.3">
      <c r="V341" s="78"/>
      <c r="W341" s="77"/>
    </row>
    <row r="342" spans="22:23" x14ac:dyDescent="0.3">
      <c r="V342" s="78"/>
      <c r="W342" s="77"/>
    </row>
    <row r="343" spans="22:23" x14ac:dyDescent="0.3">
      <c r="V343" s="78"/>
      <c r="W343" s="77"/>
    </row>
    <row r="344" spans="22:23" x14ac:dyDescent="0.3">
      <c r="V344" s="78"/>
      <c r="W344" s="77"/>
    </row>
    <row r="345" spans="22:23" x14ac:dyDescent="0.3">
      <c r="V345" s="78"/>
      <c r="W345" s="77"/>
    </row>
    <row r="346" spans="22:23" x14ac:dyDescent="0.3">
      <c r="V346" s="78"/>
      <c r="W346" s="77"/>
    </row>
    <row r="347" spans="22:23" x14ac:dyDescent="0.3">
      <c r="V347" s="78"/>
      <c r="W347" s="77"/>
    </row>
    <row r="348" spans="22:23" x14ac:dyDescent="0.3">
      <c r="V348" s="78"/>
      <c r="W348" s="77"/>
    </row>
    <row r="349" spans="22:23" x14ac:dyDescent="0.3">
      <c r="V349" s="78"/>
      <c r="W349" s="77"/>
    </row>
    <row r="350" spans="22:23" x14ac:dyDescent="0.3">
      <c r="V350" s="78"/>
      <c r="W350" s="77"/>
    </row>
    <row r="351" spans="22:23" x14ac:dyDescent="0.3">
      <c r="V351" s="78"/>
      <c r="W351" s="77"/>
    </row>
    <row r="352" spans="22:23" x14ac:dyDescent="0.3">
      <c r="V352" s="78"/>
      <c r="W352" s="77"/>
    </row>
    <row r="353" spans="22:23" x14ac:dyDescent="0.3">
      <c r="V353" s="78"/>
      <c r="W353" s="77"/>
    </row>
    <row r="354" spans="22:23" x14ac:dyDescent="0.3">
      <c r="V354" s="78"/>
      <c r="W354" s="77"/>
    </row>
    <row r="355" spans="22:23" x14ac:dyDescent="0.3">
      <c r="V355" s="78"/>
      <c r="W355" s="77"/>
    </row>
    <row r="356" spans="22:23" x14ac:dyDescent="0.3">
      <c r="V356" s="78"/>
      <c r="W356" s="77"/>
    </row>
    <row r="357" spans="22:23" x14ac:dyDescent="0.3">
      <c r="V357" s="78"/>
      <c r="W357" s="77"/>
    </row>
    <row r="358" spans="22:23" x14ac:dyDescent="0.3">
      <c r="V358" s="78"/>
      <c r="W358" s="77"/>
    </row>
    <row r="359" spans="22:23" x14ac:dyDescent="0.3">
      <c r="V359" s="78"/>
      <c r="W359" s="77"/>
    </row>
    <row r="360" spans="22:23" x14ac:dyDescent="0.3">
      <c r="V360" s="78"/>
      <c r="W360" s="77"/>
    </row>
    <row r="361" spans="22:23" x14ac:dyDescent="0.3">
      <c r="V361" s="78"/>
      <c r="W361" s="77"/>
    </row>
    <row r="362" spans="22:23" x14ac:dyDescent="0.3">
      <c r="V362" s="78"/>
      <c r="W362" s="77"/>
    </row>
    <row r="363" spans="22:23" x14ac:dyDescent="0.3">
      <c r="V363" s="78"/>
      <c r="W363" s="77"/>
    </row>
    <row r="364" spans="22:23" x14ac:dyDescent="0.3">
      <c r="V364" s="78"/>
      <c r="W364" s="77"/>
    </row>
    <row r="365" spans="22:23" x14ac:dyDescent="0.3">
      <c r="V365" s="78"/>
      <c r="W365" s="77"/>
    </row>
    <row r="366" spans="22:23" x14ac:dyDescent="0.3">
      <c r="V366" s="78"/>
      <c r="W366" s="77"/>
    </row>
    <row r="367" spans="22:23" x14ac:dyDescent="0.3">
      <c r="V367" s="78"/>
      <c r="W367" s="77"/>
    </row>
    <row r="368" spans="22:23" x14ac:dyDescent="0.3">
      <c r="V368" s="78"/>
      <c r="W368" s="77"/>
    </row>
    <row r="369" spans="22:23" x14ac:dyDescent="0.3">
      <c r="V369" s="78"/>
      <c r="W369" s="77"/>
    </row>
    <row r="370" spans="22:23" x14ac:dyDescent="0.3">
      <c r="V370" s="78"/>
      <c r="W370" s="77"/>
    </row>
    <row r="371" spans="22:23" x14ac:dyDescent="0.3">
      <c r="V371" s="78"/>
      <c r="W371" s="77"/>
    </row>
    <row r="372" spans="22:23" x14ac:dyDescent="0.3">
      <c r="V372" s="78"/>
      <c r="W372" s="77"/>
    </row>
    <row r="373" spans="22:23" x14ac:dyDescent="0.3">
      <c r="V373" s="78"/>
      <c r="W373" s="77"/>
    </row>
    <row r="374" spans="22:23" x14ac:dyDescent="0.3">
      <c r="V374" s="78"/>
      <c r="W374" s="77"/>
    </row>
    <row r="375" spans="22:23" x14ac:dyDescent="0.3">
      <c r="V375" s="78"/>
      <c r="W375" s="77"/>
    </row>
    <row r="376" spans="22:23" x14ac:dyDescent="0.3">
      <c r="V376" s="78"/>
      <c r="W376" s="77"/>
    </row>
    <row r="377" spans="22:23" x14ac:dyDescent="0.3">
      <c r="V377" s="78"/>
      <c r="W377" s="77"/>
    </row>
    <row r="378" spans="22:23" x14ac:dyDescent="0.3">
      <c r="V378" s="78"/>
      <c r="W378" s="77"/>
    </row>
    <row r="379" spans="22:23" x14ac:dyDescent="0.3">
      <c r="V379" s="78"/>
      <c r="W379" s="77"/>
    </row>
    <row r="380" spans="22:23" x14ac:dyDescent="0.3">
      <c r="V380" s="78"/>
      <c r="W380" s="77"/>
    </row>
    <row r="381" spans="22:23" x14ac:dyDescent="0.3">
      <c r="V381" s="78"/>
      <c r="W381" s="77"/>
    </row>
    <row r="382" spans="22:23" x14ac:dyDescent="0.3">
      <c r="V382" s="78"/>
      <c r="W382" s="77"/>
    </row>
    <row r="383" spans="22:23" x14ac:dyDescent="0.3">
      <c r="V383" s="78"/>
      <c r="W383" s="77"/>
    </row>
    <row r="384" spans="22:23" x14ac:dyDescent="0.3">
      <c r="V384" s="78"/>
      <c r="W384" s="77"/>
    </row>
    <row r="385" spans="22:23" x14ac:dyDescent="0.3">
      <c r="V385" s="78"/>
      <c r="W385" s="77"/>
    </row>
    <row r="386" spans="22:23" x14ac:dyDescent="0.3">
      <c r="V386" s="78"/>
      <c r="W386" s="77"/>
    </row>
    <row r="387" spans="22:23" x14ac:dyDescent="0.3">
      <c r="V387" s="78"/>
      <c r="W387" s="77"/>
    </row>
    <row r="388" spans="22:23" x14ac:dyDescent="0.3">
      <c r="V388" s="78"/>
      <c r="W388" s="77"/>
    </row>
    <row r="389" spans="22:23" x14ac:dyDescent="0.3">
      <c r="V389" s="78"/>
      <c r="W389" s="77"/>
    </row>
    <row r="390" spans="22:23" x14ac:dyDescent="0.3">
      <c r="V390" s="78"/>
      <c r="W390" s="77"/>
    </row>
    <row r="391" spans="22:23" x14ac:dyDescent="0.3">
      <c r="V391" s="78"/>
      <c r="W391" s="77"/>
    </row>
    <row r="392" spans="22:23" x14ac:dyDescent="0.3">
      <c r="V392" s="78"/>
      <c r="W392" s="77"/>
    </row>
    <row r="393" spans="22:23" x14ac:dyDescent="0.3">
      <c r="V393" s="78"/>
      <c r="W393" s="77"/>
    </row>
    <row r="394" spans="22:23" x14ac:dyDescent="0.3">
      <c r="V394" s="78"/>
      <c r="W394" s="77"/>
    </row>
    <row r="395" spans="22:23" x14ac:dyDescent="0.3">
      <c r="V395" s="78"/>
      <c r="W395" s="77"/>
    </row>
    <row r="396" spans="22:23" x14ac:dyDescent="0.3">
      <c r="V396" s="78"/>
      <c r="W396" s="77"/>
    </row>
    <row r="397" spans="22:23" x14ac:dyDescent="0.3">
      <c r="V397" s="78"/>
      <c r="W397" s="77"/>
    </row>
    <row r="398" spans="22:23" x14ac:dyDescent="0.3">
      <c r="V398" s="78"/>
      <c r="W398" s="77"/>
    </row>
    <row r="399" spans="22:23" x14ac:dyDescent="0.3">
      <c r="V399" s="78"/>
      <c r="W399" s="77"/>
    </row>
    <row r="400" spans="22:23" x14ac:dyDescent="0.3">
      <c r="V400" s="78"/>
      <c r="W400" s="77"/>
    </row>
    <row r="401" spans="22:23" x14ac:dyDescent="0.3">
      <c r="V401" s="78"/>
      <c r="W401" s="77"/>
    </row>
    <row r="402" spans="22:23" x14ac:dyDescent="0.3">
      <c r="V402" s="78"/>
      <c r="W402" s="77"/>
    </row>
    <row r="403" spans="22:23" x14ac:dyDescent="0.3">
      <c r="V403" s="78"/>
      <c r="W403" s="77"/>
    </row>
    <row r="404" spans="22:23" x14ac:dyDescent="0.3">
      <c r="V404" s="78"/>
      <c r="W404" s="77"/>
    </row>
    <row r="405" spans="22:23" x14ac:dyDescent="0.3">
      <c r="V405" s="78"/>
      <c r="W405" s="77"/>
    </row>
    <row r="406" spans="22:23" x14ac:dyDescent="0.3">
      <c r="V406" s="78"/>
      <c r="W406" s="77"/>
    </row>
    <row r="407" spans="22:23" x14ac:dyDescent="0.3">
      <c r="V407" s="78"/>
      <c r="W407" s="77"/>
    </row>
    <row r="408" spans="22:23" x14ac:dyDescent="0.3">
      <c r="V408" s="78"/>
      <c r="W408" s="77"/>
    </row>
    <row r="409" spans="22:23" x14ac:dyDescent="0.3">
      <c r="V409" s="78"/>
      <c r="W409" s="77"/>
    </row>
    <row r="410" spans="22:23" x14ac:dyDescent="0.3">
      <c r="V410" s="78"/>
      <c r="W410" s="77"/>
    </row>
    <row r="411" spans="22:23" x14ac:dyDescent="0.3">
      <c r="V411" s="78"/>
      <c r="W411" s="77"/>
    </row>
    <row r="412" spans="22:23" x14ac:dyDescent="0.3">
      <c r="V412" s="78"/>
      <c r="W412" s="77"/>
    </row>
    <row r="413" spans="22:23" x14ac:dyDescent="0.3">
      <c r="V413" s="78"/>
      <c r="W413" s="77"/>
    </row>
    <row r="414" spans="22:23" x14ac:dyDescent="0.3">
      <c r="V414" s="78"/>
      <c r="W414" s="77"/>
    </row>
    <row r="415" spans="22:23" x14ac:dyDescent="0.3">
      <c r="V415" s="78"/>
      <c r="W415" s="77"/>
    </row>
    <row r="416" spans="22:23" x14ac:dyDescent="0.3">
      <c r="V416" s="78"/>
      <c r="W416" s="77"/>
    </row>
    <row r="417" spans="22:23" x14ac:dyDescent="0.3">
      <c r="V417" s="78"/>
      <c r="W417" s="77"/>
    </row>
    <row r="418" spans="22:23" x14ac:dyDescent="0.3">
      <c r="V418" s="78"/>
      <c r="W418" s="77"/>
    </row>
    <row r="419" spans="22:23" x14ac:dyDescent="0.3">
      <c r="V419" s="78"/>
      <c r="W419" s="77"/>
    </row>
    <row r="420" spans="22:23" x14ac:dyDescent="0.3">
      <c r="V420" s="78"/>
      <c r="W420" s="77"/>
    </row>
    <row r="421" spans="22:23" x14ac:dyDescent="0.3">
      <c r="V421" s="78"/>
      <c r="W421" s="77"/>
    </row>
    <row r="422" spans="22:23" x14ac:dyDescent="0.3">
      <c r="V422" s="78"/>
      <c r="W422" s="77"/>
    </row>
  </sheetData>
  <mergeCells count="4">
    <mergeCell ref="V1:W1"/>
    <mergeCell ref="R1:S1"/>
    <mergeCell ref="T1:U1"/>
    <mergeCell ref="X1:Z1"/>
  </mergeCells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9E125-DF42-4B24-9492-68B462F9BAD2}">
  <dimension ref="A1:AV80"/>
  <sheetViews>
    <sheetView workbookViewId="0">
      <selection activeCell="Q14" sqref="Q14"/>
    </sheetView>
  </sheetViews>
  <sheetFormatPr baseColWidth="10" defaultRowHeight="14.4" x14ac:dyDescent="0.3"/>
  <cols>
    <col min="1" max="1" width="19.109375" style="5" customWidth="1"/>
    <col min="2" max="2" width="31.109375" style="5" customWidth="1"/>
    <col min="3" max="3" width="25.21875" style="14" customWidth="1"/>
    <col min="4" max="4" width="41.44140625" style="14" customWidth="1"/>
    <col min="5" max="5" width="29.5546875" style="14" customWidth="1"/>
    <col min="6" max="6" width="16.21875" style="14" customWidth="1"/>
    <col min="7" max="7" width="15.5546875" style="6" customWidth="1"/>
    <col min="8" max="8" width="11.5546875" style="6"/>
    <col min="9" max="9" width="17.44140625" style="7" customWidth="1"/>
    <col min="10" max="10" width="21.77734375" style="7" customWidth="1"/>
    <col min="11" max="11" width="25.44140625" style="7" customWidth="1"/>
    <col min="12" max="12" width="15.44140625" style="7" customWidth="1"/>
    <col min="13" max="13" width="14.5546875" style="12" customWidth="1"/>
    <col min="14" max="14" width="24.5546875" style="12" customWidth="1"/>
    <col min="15" max="15" width="16.33203125" style="11" customWidth="1"/>
    <col min="16" max="16" width="19.77734375" style="11" customWidth="1"/>
    <col min="17" max="17" width="28.33203125" style="11" customWidth="1"/>
    <col min="18" max="18" width="15.77734375" style="11" customWidth="1"/>
    <col min="19" max="20" width="24.33203125" style="6" customWidth="1"/>
    <col min="21" max="23" width="24.33203125" style="7" customWidth="1"/>
    <col min="24" max="24" width="24.33203125" style="64" customWidth="1"/>
    <col min="25" max="26" width="24.33203125" style="6" customWidth="1"/>
    <col min="27" max="30" width="24.33203125" style="7" customWidth="1"/>
    <col min="31" max="31" width="24.33203125" style="47" customWidth="1"/>
    <col min="32" max="36" width="24.33203125" style="7" customWidth="1"/>
    <col min="37" max="38" width="24.33203125" style="6" customWidth="1"/>
    <col min="39" max="42" width="24.33203125" style="7" customWidth="1"/>
    <col min="43" max="43" width="13.77734375" style="6" customWidth="1"/>
    <col min="44" max="44" width="27.21875" style="7" customWidth="1"/>
    <col min="45" max="45" width="21.6640625" style="8" customWidth="1"/>
    <col min="46" max="46" width="11.5546875" style="6"/>
    <col min="47" max="47" width="30.77734375" style="43" customWidth="1"/>
    <col min="48" max="48" width="19.33203125" style="8" customWidth="1"/>
    <col min="49" max="16384" width="11.5546875" style="7"/>
  </cols>
  <sheetData>
    <row r="1" spans="1:48" x14ac:dyDescent="0.3">
      <c r="A1" s="405" t="s">
        <v>33</v>
      </c>
      <c r="B1" s="405"/>
      <c r="C1" s="405"/>
      <c r="D1" s="405"/>
      <c r="E1" s="405"/>
      <c r="F1" s="405"/>
      <c r="G1" s="406" t="s">
        <v>37</v>
      </c>
      <c r="H1" s="406"/>
      <c r="I1" s="406"/>
      <c r="J1" s="406"/>
      <c r="K1" s="406"/>
      <c r="L1" s="406"/>
      <c r="M1" s="407" t="s">
        <v>42</v>
      </c>
      <c r="N1" s="407"/>
      <c r="O1" s="407"/>
      <c r="P1" s="407"/>
      <c r="Q1" s="407"/>
      <c r="R1" s="407"/>
      <c r="S1" s="405" t="s">
        <v>53</v>
      </c>
      <c r="T1" s="405"/>
      <c r="U1" s="405"/>
      <c r="V1" s="405"/>
      <c r="W1" s="405"/>
      <c r="X1" s="405"/>
      <c r="Y1" s="405" t="s">
        <v>58</v>
      </c>
      <c r="Z1" s="405"/>
      <c r="AA1" s="405"/>
      <c r="AB1" s="405"/>
      <c r="AC1" s="405"/>
      <c r="AD1" s="405"/>
      <c r="AE1" s="405" t="s">
        <v>65</v>
      </c>
      <c r="AF1" s="405"/>
      <c r="AG1" s="405"/>
      <c r="AH1" s="405"/>
      <c r="AI1" s="405"/>
      <c r="AJ1" s="405"/>
      <c r="AK1" s="405" t="s">
        <v>87</v>
      </c>
      <c r="AL1" s="405"/>
      <c r="AM1" s="405"/>
      <c r="AN1" s="405"/>
      <c r="AO1" s="405"/>
      <c r="AP1" s="405"/>
      <c r="AQ1" s="402" t="s">
        <v>43</v>
      </c>
      <c r="AR1" s="403"/>
      <c r="AS1" s="404"/>
      <c r="AT1" s="402" t="s">
        <v>80</v>
      </c>
      <c r="AU1" s="403"/>
      <c r="AV1" s="404"/>
    </row>
    <row r="2" spans="1:48" ht="15.6" x14ac:dyDescent="0.3">
      <c r="A2" s="44" t="s">
        <v>88</v>
      </c>
      <c r="B2" s="45" t="s">
        <v>89</v>
      </c>
      <c r="C2" s="37" t="s">
        <v>90</v>
      </c>
      <c r="D2" s="38" t="s">
        <v>91</v>
      </c>
      <c r="E2" s="39" t="s">
        <v>92</v>
      </c>
      <c r="S2" s="5"/>
      <c r="T2" s="5"/>
      <c r="U2" s="14"/>
      <c r="V2" s="14"/>
      <c r="W2" s="14"/>
      <c r="X2" s="62"/>
      <c r="Y2" s="5"/>
      <c r="Z2" s="5"/>
      <c r="AA2" s="14"/>
      <c r="AB2" s="14"/>
      <c r="AC2" s="14"/>
      <c r="AD2" s="14"/>
      <c r="AE2" s="36"/>
      <c r="AF2" s="14"/>
      <c r="AG2" s="14"/>
      <c r="AH2" s="14"/>
      <c r="AI2" s="14"/>
      <c r="AJ2" s="14"/>
      <c r="AK2" s="5"/>
      <c r="AL2" s="5"/>
      <c r="AM2" s="14"/>
      <c r="AN2" s="14"/>
      <c r="AO2" s="14"/>
      <c r="AP2" s="14"/>
      <c r="AQ2" s="9"/>
      <c r="AR2" s="16"/>
      <c r="AS2" s="10"/>
      <c r="AT2" s="9"/>
      <c r="AU2" s="17"/>
      <c r="AV2" s="10"/>
    </row>
    <row r="3" spans="1:48" s="41" customFormat="1" ht="41.4" x14ac:dyDescent="0.3">
      <c r="A3" s="25" t="s">
        <v>4</v>
      </c>
      <c r="B3" s="25" t="s">
        <v>29</v>
      </c>
      <c r="C3" s="13" t="s">
        <v>4</v>
      </c>
      <c r="D3" s="13" t="s">
        <v>30</v>
      </c>
      <c r="E3" s="13" t="s">
        <v>31</v>
      </c>
      <c r="F3" s="13" t="s">
        <v>32</v>
      </c>
      <c r="G3" s="25" t="s">
        <v>34</v>
      </c>
      <c r="H3" s="25" t="s">
        <v>29</v>
      </c>
      <c r="I3" s="13" t="s">
        <v>34</v>
      </c>
      <c r="J3" s="13" t="s">
        <v>35</v>
      </c>
      <c r="K3" s="13" t="s">
        <v>31</v>
      </c>
      <c r="L3" s="13" t="s">
        <v>36</v>
      </c>
      <c r="M3" s="25" t="s">
        <v>38</v>
      </c>
      <c r="N3" s="25" t="s">
        <v>41</v>
      </c>
      <c r="O3" s="13" t="s">
        <v>38</v>
      </c>
      <c r="P3" s="13" t="s">
        <v>39</v>
      </c>
      <c r="Q3" s="13" t="s">
        <v>40</v>
      </c>
      <c r="R3" s="13" t="s">
        <v>36</v>
      </c>
      <c r="S3" s="25" t="s">
        <v>4</v>
      </c>
      <c r="T3" s="25" t="s">
        <v>29</v>
      </c>
      <c r="U3" s="13" t="s">
        <v>4</v>
      </c>
      <c r="V3" s="13" t="s">
        <v>30</v>
      </c>
      <c r="W3" s="13" t="s">
        <v>31</v>
      </c>
      <c r="X3" s="13" t="s">
        <v>32</v>
      </c>
      <c r="Y3" s="25" t="s">
        <v>4</v>
      </c>
      <c r="Z3" s="25" t="s">
        <v>29</v>
      </c>
      <c r="AA3" s="13" t="s">
        <v>4</v>
      </c>
      <c r="AB3" s="13" t="s">
        <v>30</v>
      </c>
      <c r="AC3" s="13" t="s">
        <v>31</v>
      </c>
      <c r="AD3" s="13" t="s">
        <v>32</v>
      </c>
      <c r="AE3" s="33" t="s">
        <v>4</v>
      </c>
      <c r="AF3" s="13" t="s">
        <v>29</v>
      </c>
      <c r="AG3" s="13" t="s">
        <v>4</v>
      </c>
      <c r="AH3" s="13" t="s">
        <v>30</v>
      </c>
      <c r="AI3" s="13" t="s">
        <v>31</v>
      </c>
      <c r="AJ3" s="13" t="s">
        <v>32</v>
      </c>
      <c r="AK3" s="25" t="s">
        <v>4</v>
      </c>
      <c r="AL3" s="25" t="s">
        <v>29</v>
      </c>
      <c r="AM3" s="13" t="s">
        <v>4</v>
      </c>
      <c r="AN3" s="13" t="s">
        <v>30</v>
      </c>
      <c r="AO3" s="13" t="s">
        <v>31</v>
      </c>
      <c r="AP3" s="13" t="s">
        <v>32</v>
      </c>
      <c r="AQ3" s="27" t="s">
        <v>44</v>
      </c>
      <c r="AR3" s="13" t="s">
        <v>46</v>
      </c>
      <c r="AS3" s="52" t="s">
        <v>94</v>
      </c>
      <c r="AT3" s="27" t="s">
        <v>44</v>
      </c>
      <c r="AU3" s="40" t="s">
        <v>81</v>
      </c>
      <c r="AV3" s="52" t="s">
        <v>93</v>
      </c>
    </row>
    <row r="4" spans="1:48" s="41" customFormat="1" x14ac:dyDescent="0.3">
      <c r="A4" s="27" t="s">
        <v>5</v>
      </c>
      <c r="B4" s="46" t="s">
        <v>6</v>
      </c>
      <c r="C4" s="18" t="s">
        <v>5</v>
      </c>
      <c r="D4" s="18" t="s">
        <v>9</v>
      </c>
      <c r="E4" s="18" t="s">
        <v>8</v>
      </c>
      <c r="F4" s="18" t="s">
        <v>24</v>
      </c>
      <c r="G4" s="29" t="s">
        <v>18</v>
      </c>
      <c r="H4" s="49" t="s">
        <v>19</v>
      </c>
      <c r="I4" s="30" t="s">
        <v>18</v>
      </c>
      <c r="J4" s="18" t="s">
        <v>20</v>
      </c>
      <c r="K4" s="30" t="s">
        <v>21</v>
      </c>
      <c r="L4" s="30" t="s">
        <v>22</v>
      </c>
      <c r="M4" s="27" t="s">
        <v>10</v>
      </c>
      <c r="N4" s="27" t="s">
        <v>6</v>
      </c>
      <c r="O4" s="18" t="s">
        <v>10</v>
      </c>
      <c r="P4" s="18" t="s">
        <v>13</v>
      </c>
      <c r="Q4" s="18" t="s">
        <v>14</v>
      </c>
      <c r="R4" s="18" t="s">
        <v>23</v>
      </c>
      <c r="S4" s="27" t="s">
        <v>5</v>
      </c>
      <c r="T4" s="46" t="s">
        <v>6</v>
      </c>
      <c r="U4" s="18" t="s">
        <v>5</v>
      </c>
      <c r="V4" s="18" t="s">
        <v>9</v>
      </c>
      <c r="W4" s="18" t="s">
        <v>8</v>
      </c>
      <c r="X4" s="18" t="s">
        <v>24</v>
      </c>
      <c r="Y4" s="27" t="s">
        <v>5</v>
      </c>
      <c r="Z4" s="46" t="s">
        <v>72</v>
      </c>
      <c r="AA4" s="18" t="s">
        <v>5</v>
      </c>
      <c r="AB4" s="18" t="s">
        <v>9</v>
      </c>
      <c r="AC4" s="18" t="s">
        <v>8</v>
      </c>
      <c r="AD4" s="18" t="s">
        <v>24</v>
      </c>
      <c r="AE4" s="34" t="s">
        <v>5</v>
      </c>
      <c r="AF4" s="19" t="s">
        <v>79</v>
      </c>
      <c r="AG4" s="18" t="s">
        <v>5</v>
      </c>
      <c r="AH4" s="18" t="s">
        <v>9</v>
      </c>
      <c r="AI4" s="18" t="s">
        <v>8</v>
      </c>
      <c r="AJ4" s="18" t="s">
        <v>24</v>
      </c>
      <c r="AK4" s="27" t="s">
        <v>5</v>
      </c>
      <c r="AL4" s="46" t="s">
        <v>73</v>
      </c>
      <c r="AM4" s="18" t="s">
        <v>5</v>
      </c>
      <c r="AN4" s="18" t="s">
        <v>9</v>
      </c>
      <c r="AO4" s="18" t="s">
        <v>8</v>
      </c>
      <c r="AP4" s="18" t="s">
        <v>24</v>
      </c>
      <c r="AQ4" s="27" t="s">
        <v>45</v>
      </c>
      <c r="AR4" s="18" t="s">
        <v>17</v>
      </c>
      <c r="AS4" s="28" t="s">
        <v>47</v>
      </c>
      <c r="AT4" s="27" t="s">
        <v>45</v>
      </c>
      <c r="AU4" s="40" t="s">
        <v>6</v>
      </c>
      <c r="AV4" s="28" t="s">
        <v>82</v>
      </c>
    </row>
    <row r="5" spans="1:48" ht="15" x14ac:dyDescent="0.3">
      <c r="A5" s="22" t="s">
        <v>0</v>
      </c>
      <c r="B5" s="26" t="s">
        <v>7</v>
      </c>
      <c r="C5" s="20" t="s">
        <v>0</v>
      </c>
      <c r="D5" s="21">
        <v>1500000</v>
      </c>
      <c r="E5" s="21">
        <v>0.7</v>
      </c>
      <c r="F5" s="54">
        <v>0.72</v>
      </c>
      <c r="G5" s="22" t="s">
        <v>11</v>
      </c>
      <c r="H5" s="60" t="s">
        <v>98</v>
      </c>
      <c r="I5" s="20" t="s">
        <v>11</v>
      </c>
      <c r="J5" s="21">
        <v>50000</v>
      </c>
      <c r="K5" s="23">
        <v>0.3</v>
      </c>
      <c r="L5" s="54">
        <v>31</v>
      </c>
      <c r="M5" s="22" t="s">
        <v>11</v>
      </c>
      <c r="N5" s="66" t="s">
        <v>105</v>
      </c>
      <c r="O5" s="67" t="s">
        <v>11</v>
      </c>
      <c r="P5" s="68">
        <v>50000</v>
      </c>
      <c r="Q5" s="68">
        <v>0.1</v>
      </c>
      <c r="R5" s="70">
        <v>12.62</v>
      </c>
      <c r="S5" s="22" t="s">
        <v>52</v>
      </c>
      <c r="T5" s="26" t="s">
        <v>7</v>
      </c>
      <c r="U5" s="20" t="s">
        <v>52</v>
      </c>
      <c r="V5" s="21">
        <v>50000</v>
      </c>
      <c r="W5" s="21">
        <v>3</v>
      </c>
      <c r="X5" s="54">
        <v>46.9</v>
      </c>
      <c r="Y5" s="32" t="s">
        <v>62</v>
      </c>
      <c r="Z5" s="26" t="s">
        <v>61</v>
      </c>
      <c r="AA5" s="20" t="s">
        <v>62</v>
      </c>
      <c r="AB5" s="21" t="s">
        <v>115</v>
      </c>
      <c r="AC5" s="21" t="s">
        <v>115</v>
      </c>
      <c r="AD5" s="21" t="s">
        <v>115</v>
      </c>
      <c r="AE5" s="35" t="s">
        <v>66</v>
      </c>
      <c r="AF5" s="56" t="s">
        <v>68</v>
      </c>
      <c r="AG5" s="20" t="s">
        <v>66</v>
      </c>
      <c r="AH5" s="21" t="s">
        <v>115</v>
      </c>
      <c r="AI5" s="21" t="s">
        <v>115</v>
      </c>
      <c r="AJ5" s="21" t="s">
        <v>115</v>
      </c>
      <c r="AK5" s="22" t="s">
        <v>74</v>
      </c>
      <c r="AL5" s="50" t="s">
        <v>75</v>
      </c>
      <c r="AM5" s="20" t="s">
        <v>74</v>
      </c>
      <c r="AN5" s="21">
        <v>50000</v>
      </c>
      <c r="AO5" s="21" t="s">
        <v>115</v>
      </c>
      <c r="AP5" s="57">
        <v>0.1</v>
      </c>
      <c r="AQ5" s="26" t="s">
        <v>15</v>
      </c>
      <c r="AR5" s="20" t="s">
        <v>11</v>
      </c>
      <c r="AS5" s="24">
        <v>1</v>
      </c>
      <c r="AT5" s="50" t="s">
        <v>15</v>
      </c>
      <c r="AU5" s="31" t="s">
        <v>84</v>
      </c>
      <c r="AV5" s="53">
        <v>3.2</v>
      </c>
    </row>
    <row r="6" spans="1:48" ht="15" x14ac:dyDescent="0.3">
      <c r="A6" s="22" t="s">
        <v>49</v>
      </c>
      <c r="B6" s="26" t="s">
        <v>48</v>
      </c>
      <c r="C6" s="20" t="s">
        <v>49</v>
      </c>
      <c r="D6" s="21">
        <v>1500000000</v>
      </c>
      <c r="E6" s="21">
        <v>2</v>
      </c>
      <c r="F6" s="54" t="s">
        <v>97</v>
      </c>
      <c r="G6" s="22"/>
      <c r="H6" s="60" t="s">
        <v>99</v>
      </c>
      <c r="I6" s="20" t="s">
        <v>11</v>
      </c>
      <c r="J6" s="21">
        <v>50000</v>
      </c>
      <c r="K6" s="23">
        <v>0.3</v>
      </c>
      <c r="L6" s="54">
        <v>30</v>
      </c>
      <c r="M6" s="22"/>
      <c r="N6" s="66" t="s">
        <v>106</v>
      </c>
      <c r="O6" s="67" t="s">
        <v>11</v>
      </c>
      <c r="P6" s="68">
        <v>50000</v>
      </c>
      <c r="Q6" s="68">
        <v>0.1</v>
      </c>
      <c r="R6" s="70">
        <v>13.754</v>
      </c>
      <c r="S6" s="22" t="s">
        <v>54</v>
      </c>
      <c r="T6" s="26" t="s">
        <v>48</v>
      </c>
      <c r="U6" s="20" t="s">
        <v>54</v>
      </c>
      <c r="V6" s="21">
        <v>50000</v>
      </c>
      <c r="W6" s="21">
        <v>5</v>
      </c>
      <c r="X6" s="63">
        <v>1</v>
      </c>
      <c r="Y6" s="32" t="s">
        <v>59</v>
      </c>
      <c r="Z6" s="26" t="s">
        <v>60</v>
      </c>
      <c r="AA6" s="20" t="s">
        <v>59</v>
      </c>
      <c r="AB6" s="21" t="s">
        <v>115</v>
      </c>
      <c r="AC6" s="21" t="s">
        <v>115</v>
      </c>
      <c r="AD6" s="21" t="s">
        <v>115</v>
      </c>
      <c r="AE6" s="48"/>
      <c r="AF6" s="56" t="s">
        <v>69</v>
      </c>
      <c r="AG6" s="20" t="s">
        <v>66</v>
      </c>
      <c r="AH6" s="21" t="s">
        <v>115</v>
      </c>
      <c r="AI6" s="21" t="s">
        <v>115</v>
      </c>
      <c r="AJ6" s="21" t="s">
        <v>115</v>
      </c>
      <c r="AK6" s="3"/>
      <c r="AL6" s="50" t="s">
        <v>76</v>
      </c>
      <c r="AM6" s="20" t="s">
        <v>74</v>
      </c>
      <c r="AN6" s="21">
        <v>50000</v>
      </c>
      <c r="AO6" s="21" t="s">
        <v>115</v>
      </c>
      <c r="AP6" s="57">
        <v>0.12</v>
      </c>
      <c r="AQ6" s="26" t="s">
        <v>16</v>
      </c>
      <c r="AR6" s="20" t="s">
        <v>11</v>
      </c>
      <c r="AS6" s="24">
        <v>5</v>
      </c>
      <c r="AT6" s="50" t="s">
        <v>15</v>
      </c>
      <c r="AU6" s="66" t="s">
        <v>105</v>
      </c>
      <c r="AV6" s="53">
        <v>0.08</v>
      </c>
    </row>
    <row r="7" spans="1:48" ht="15" x14ac:dyDescent="0.3">
      <c r="A7" s="22" t="s">
        <v>51</v>
      </c>
      <c r="B7" s="26" t="s">
        <v>50</v>
      </c>
      <c r="C7" s="20" t="s">
        <v>51</v>
      </c>
      <c r="D7" s="21">
        <v>1500000000</v>
      </c>
      <c r="E7" s="21">
        <v>1</v>
      </c>
      <c r="F7" s="54" t="s">
        <v>97</v>
      </c>
      <c r="G7" s="3"/>
      <c r="H7" s="60" t="s">
        <v>100</v>
      </c>
      <c r="I7" s="20" t="s">
        <v>11</v>
      </c>
      <c r="J7" s="21">
        <v>50000</v>
      </c>
      <c r="K7" s="23">
        <v>0.3</v>
      </c>
      <c r="L7" s="54">
        <v>62</v>
      </c>
      <c r="M7" s="3"/>
      <c r="N7" s="66" t="s">
        <v>107</v>
      </c>
      <c r="O7" s="67" t="s">
        <v>11</v>
      </c>
      <c r="P7" s="68">
        <v>50000</v>
      </c>
      <c r="Q7" s="68">
        <v>0.1</v>
      </c>
      <c r="R7" s="70">
        <v>0</v>
      </c>
      <c r="S7" s="22" t="s">
        <v>55</v>
      </c>
      <c r="T7" s="26" t="s">
        <v>50</v>
      </c>
      <c r="U7" s="20" t="s">
        <v>55</v>
      </c>
      <c r="V7" s="21">
        <v>50000</v>
      </c>
      <c r="W7" s="21">
        <v>5</v>
      </c>
      <c r="X7" s="63">
        <v>1</v>
      </c>
      <c r="Y7" s="32" t="s">
        <v>64</v>
      </c>
      <c r="Z7" s="26" t="s">
        <v>63</v>
      </c>
      <c r="AA7" s="20" t="s">
        <v>64</v>
      </c>
      <c r="AB7" s="21" t="s">
        <v>115</v>
      </c>
      <c r="AC7" s="21" t="s">
        <v>115</v>
      </c>
      <c r="AD7" s="21" t="s">
        <v>115</v>
      </c>
      <c r="AE7" s="48"/>
      <c r="AF7" s="56" t="s">
        <v>70</v>
      </c>
      <c r="AG7" s="20" t="s">
        <v>66</v>
      </c>
      <c r="AH7" s="21" t="s">
        <v>115</v>
      </c>
      <c r="AI7" s="21" t="s">
        <v>115</v>
      </c>
      <c r="AJ7" s="21" t="s">
        <v>115</v>
      </c>
      <c r="AK7" s="3"/>
      <c r="AL7" s="50" t="s">
        <v>77</v>
      </c>
      <c r="AM7" s="20" t="s">
        <v>74</v>
      </c>
      <c r="AN7" s="21">
        <v>50000</v>
      </c>
      <c r="AO7" s="21" t="s">
        <v>115</v>
      </c>
      <c r="AP7" s="57">
        <v>0.1</v>
      </c>
      <c r="AQ7" s="26" t="s">
        <v>15</v>
      </c>
      <c r="AR7" s="20" t="s">
        <v>12</v>
      </c>
      <c r="AS7" s="24">
        <v>1</v>
      </c>
      <c r="AT7" s="50" t="s">
        <v>15</v>
      </c>
      <c r="AU7" s="66" t="s">
        <v>106</v>
      </c>
      <c r="AV7" s="53">
        <v>0.45</v>
      </c>
    </row>
    <row r="8" spans="1:48" ht="15" x14ac:dyDescent="0.3">
      <c r="A8" s="3"/>
      <c r="B8" s="3"/>
      <c r="C8" s="15"/>
      <c r="D8" s="15"/>
      <c r="E8" s="15"/>
      <c r="F8" s="59"/>
      <c r="G8" s="3"/>
      <c r="H8" s="60" t="s">
        <v>101</v>
      </c>
      <c r="I8" s="20" t="s">
        <v>11</v>
      </c>
      <c r="J8" s="21">
        <v>50000</v>
      </c>
      <c r="K8" s="23">
        <v>0.3</v>
      </c>
      <c r="L8" s="54">
        <v>31</v>
      </c>
      <c r="M8" s="3"/>
      <c r="N8" s="66" t="s">
        <v>108</v>
      </c>
      <c r="O8" s="67" t="s">
        <v>11</v>
      </c>
      <c r="P8" s="68">
        <v>50000</v>
      </c>
      <c r="Q8" s="68">
        <v>0.1</v>
      </c>
      <c r="R8" s="70">
        <v>0</v>
      </c>
      <c r="S8" s="22" t="s">
        <v>57</v>
      </c>
      <c r="T8" s="26" t="s">
        <v>56</v>
      </c>
      <c r="U8" s="20" t="s">
        <v>57</v>
      </c>
      <c r="V8" s="21">
        <v>50000</v>
      </c>
      <c r="W8" s="21">
        <v>1</v>
      </c>
      <c r="X8" s="54">
        <v>0.12</v>
      </c>
      <c r="AE8" s="48"/>
      <c r="AF8" s="56" t="s">
        <v>71</v>
      </c>
      <c r="AG8" s="20" t="s">
        <v>66</v>
      </c>
      <c r="AH8" s="21" t="s">
        <v>115</v>
      </c>
      <c r="AI8" s="21" t="s">
        <v>115</v>
      </c>
      <c r="AJ8" s="21" t="s">
        <v>115</v>
      </c>
      <c r="AK8" s="3"/>
      <c r="AL8" s="51" t="s">
        <v>78</v>
      </c>
      <c r="AM8" s="20" t="s">
        <v>74</v>
      </c>
      <c r="AN8" s="21">
        <v>50000</v>
      </c>
      <c r="AO8" s="21" t="s">
        <v>115</v>
      </c>
      <c r="AP8" s="57">
        <v>0.4</v>
      </c>
      <c r="AQ8" s="26" t="s">
        <v>16</v>
      </c>
      <c r="AR8" s="20" t="s">
        <v>12</v>
      </c>
      <c r="AS8" s="24">
        <v>5</v>
      </c>
      <c r="AT8" s="50" t="s">
        <v>15</v>
      </c>
      <c r="AU8" s="66" t="s">
        <v>107</v>
      </c>
      <c r="AV8" s="53">
        <v>0.05</v>
      </c>
    </row>
    <row r="9" spans="1:48" ht="15" x14ac:dyDescent="0.3">
      <c r="G9" s="3"/>
      <c r="H9" s="60" t="s">
        <v>102</v>
      </c>
      <c r="I9" s="20" t="s">
        <v>11</v>
      </c>
      <c r="J9" s="21">
        <v>50000</v>
      </c>
      <c r="K9" s="23">
        <v>0.3</v>
      </c>
      <c r="L9" s="54">
        <v>0.12</v>
      </c>
      <c r="M9" s="3"/>
      <c r="N9" s="66" t="s">
        <v>109</v>
      </c>
      <c r="O9" s="67" t="s">
        <v>11</v>
      </c>
      <c r="P9" s="68">
        <v>50000</v>
      </c>
      <c r="Q9" s="68">
        <v>0.1</v>
      </c>
      <c r="R9" s="70">
        <v>20</v>
      </c>
      <c r="AE9" s="48"/>
      <c r="AF9" s="56" t="s">
        <v>67</v>
      </c>
      <c r="AG9" s="20" t="s">
        <v>66</v>
      </c>
      <c r="AH9" s="21" t="s">
        <v>115</v>
      </c>
      <c r="AI9" s="21" t="s">
        <v>115</v>
      </c>
      <c r="AJ9" s="21" t="s">
        <v>115</v>
      </c>
      <c r="AQ9" s="26" t="s">
        <v>15</v>
      </c>
      <c r="AR9" s="20" t="s">
        <v>0</v>
      </c>
      <c r="AS9" s="24">
        <v>3</v>
      </c>
      <c r="AT9" s="50" t="s">
        <v>15</v>
      </c>
      <c r="AU9" s="66" t="s">
        <v>108</v>
      </c>
      <c r="AV9" s="53">
        <v>28.5</v>
      </c>
    </row>
    <row r="10" spans="1:48" ht="15" x14ac:dyDescent="0.3">
      <c r="G10" s="3"/>
      <c r="H10" s="60" t="s">
        <v>103</v>
      </c>
      <c r="I10" s="20" t="s">
        <v>11</v>
      </c>
      <c r="J10" s="21">
        <v>50000</v>
      </c>
      <c r="K10" s="23">
        <v>0.3</v>
      </c>
      <c r="L10" s="54">
        <v>25</v>
      </c>
      <c r="M10" s="3"/>
      <c r="N10" s="56" t="s">
        <v>110</v>
      </c>
      <c r="O10" s="67" t="s">
        <v>11</v>
      </c>
      <c r="P10" s="68">
        <v>50000</v>
      </c>
      <c r="Q10" s="68">
        <v>0.1</v>
      </c>
      <c r="R10" s="69">
        <v>12.62</v>
      </c>
      <c r="AN10" s="58"/>
      <c r="AO10" s="14"/>
      <c r="AQ10" s="26" t="s">
        <v>15</v>
      </c>
      <c r="AR10" s="20" t="s">
        <v>1</v>
      </c>
      <c r="AS10" s="24">
        <v>1</v>
      </c>
      <c r="AT10" s="50" t="s">
        <v>15</v>
      </c>
      <c r="AU10" s="66" t="s">
        <v>109</v>
      </c>
      <c r="AV10" s="53">
        <v>1.4</v>
      </c>
    </row>
    <row r="11" spans="1:48" ht="15" x14ac:dyDescent="0.3">
      <c r="G11" s="3"/>
      <c r="H11" s="61" t="s">
        <v>104</v>
      </c>
      <c r="I11" s="20" t="s">
        <v>11</v>
      </c>
      <c r="J11" s="21">
        <v>50000</v>
      </c>
      <c r="K11" s="23">
        <v>0.3</v>
      </c>
      <c r="L11" s="55">
        <v>20</v>
      </c>
      <c r="M11" s="3"/>
      <c r="N11" s="56" t="s">
        <v>111</v>
      </c>
      <c r="O11" s="67" t="s">
        <v>11</v>
      </c>
      <c r="P11" s="68">
        <v>50000</v>
      </c>
      <c r="Q11" s="68">
        <v>0.1</v>
      </c>
      <c r="R11" s="69">
        <v>13.754</v>
      </c>
      <c r="AN11" s="58"/>
      <c r="AO11" s="14"/>
      <c r="AQ11" s="26" t="s">
        <v>15</v>
      </c>
      <c r="AR11" s="20" t="s">
        <v>2</v>
      </c>
      <c r="AS11" s="24">
        <v>3</v>
      </c>
      <c r="AT11" s="50" t="s">
        <v>15</v>
      </c>
      <c r="AU11" s="56" t="s">
        <v>110</v>
      </c>
      <c r="AV11" s="53">
        <v>0.35</v>
      </c>
    </row>
    <row r="12" spans="1:48" ht="15" x14ac:dyDescent="0.3">
      <c r="G12" s="3"/>
      <c r="H12" s="59"/>
      <c r="I12" s="15"/>
      <c r="J12" s="15"/>
      <c r="K12" s="16"/>
      <c r="L12" s="59"/>
      <c r="M12" s="3"/>
      <c r="N12" s="56" t="s">
        <v>112</v>
      </c>
      <c r="O12" s="67" t="s">
        <v>11</v>
      </c>
      <c r="P12" s="68">
        <v>50000</v>
      </c>
      <c r="Q12" s="68">
        <v>0.1</v>
      </c>
      <c r="R12" s="69">
        <v>0</v>
      </c>
      <c r="AN12" s="58"/>
      <c r="AO12" s="14"/>
      <c r="AQ12" s="26" t="s">
        <v>15</v>
      </c>
      <c r="AR12" s="20" t="s">
        <v>3</v>
      </c>
      <c r="AS12" s="24">
        <v>1</v>
      </c>
      <c r="AT12" s="50" t="s">
        <v>15</v>
      </c>
      <c r="AU12" s="56" t="s">
        <v>111</v>
      </c>
      <c r="AV12" s="53">
        <v>1.1000000000000001</v>
      </c>
    </row>
    <row r="13" spans="1:48" ht="15" x14ac:dyDescent="0.3">
      <c r="G13" s="3"/>
      <c r="H13" s="59"/>
      <c r="I13" s="15"/>
      <c r="J13" s="15"/>
      <c r="K13" s="16"/>
      <c r="L13" s="59"/>
      <c r="M13" s="3"/>
      <c r="N13" s="56" t="s">
        <v>113</v>
      </c>
      <c r="O13" s="67" t="s">
        <v>11</v>
      </c>
      <c r="P13" s="68">
        <v>50000</v>
      </c>
      <c r="Q13" s="68">
        <v>0.1</v>
      </c>
      <c r="R13" s="69">
        <v>0</v>
      </c>
      <c r="AN13" s="58"/>
      <c r="AO13" s="14"/>
      <c r="AQ13" s="26" t="s">
        <v>16</v>
      </c>
      <c r="AR13" s="20" t="s">
        <v>0</v>
      </c>
      <c r="AS13" s="24">
        <v>3</v>
      </c>
      <c r="AT13" s="50" t="s">
        <v>15</v>
      </c>
      <c r="AU13" s="56" t="s">
        <v>112</v>
      </c>
      <c r="AV13" s="53">
        <v>0.42</v>
      </c>
    </row>
    <row r="14" spans="1:48" ht="15" x14ac:dyDescent="0.3">
      <c r="G14" s="3"/>
      <c r="H14" s="59"/>
      <c r="I14" s="15"/>
      <c r="J14" s="15"/>
      <c r="K14" s="16"/>
      <c r="L14" s="59"/>
      <c r="M14" s="3"/>
      <c r="N14" s="56" t="s">
        <v>114</v>
      </c>
      <c r="O14" s="67" t="s">
        <v>11</v>
      </c>
      <c r="P14" s="68">
        <v>50000</v>
      </c>
      <c r="Q14" s="68">
        <v>1</v>
      </c>
      <c r="R14" s="69">
        <v>20</v>
      </c>
      <c r="AN14" s="14"/>
      <c r="AO14" s="14"/>
      <c r="AQ14" s="26" t="s">
        <v>16</v>
      </c>
      <c r="AR14" s="20" t="s">
        <v>1</v>
      </c>
      <c r="AS14" s="24">
        <v>1</v>
      </c>
      <c r="AT14" s="50" t="s">
        <v>15</v>
      </c>
      <c r="AU14" s="56" t="s">
        <v>113</v>
      </c>
      <c r="AV14" s="53">
        <v>0.05</v>
      </c>
    </row>
    <row r="15" spans="1:48" ht="15" x14ac:dyDescent="0.3">
      <c r="G15" s="3"/>
      <c r="H15" s="59"/>
      <c r="I15" s="15"/>
      <c r="J15" s="15"/>
      <c r="K15" s="16"/>
      <c r="L15" s="59"/>
      <c r="M15" s="3"/>
      <c r="N15" s="3"/>
      <c r="O15" s="15"/>
      <c r="P15" s="15"/>
      <c r="Q15" s="15"/>
      <c r="R15" s="59"/>
      <c r="AN15" s="14"/>
      <c r="AO15" s="14"/>
      <c r="AQ15" s="26" t="s">
        <v>16</v>
      </c>
      <c r="AR15" s="20" t="s">
        <v>2</v>
      </c>
      <c r="AS15" s="24">
        <v>5</v>
      </c>
      <c r="AT15" s="50" t="s">
        <v>15</v>
      </c>
      <c r="AU15" s="56" t="s">
        <v>114</v>
      </c>
      <c r="AV15" s="53">
        <v>0.38</v>
      </c>
    </row>
    <row r="16" spans="1:48" x14ac:dyDescent="0.3">
      <c r="G16" s="3"/>
      <c r="H16" s="59"/>
      <c r="I16" s="15"/>
      <c r="J16" s="15"/>
      <c r="K16" s="16"/>
      <c r="L16" s="59"/>
      <c r="M16" s="3"/>
      <c r="N16" s="3"/>
      <c r="O16" s="15"/>
      <c r="P16" s="15"/>
      <c r="Q16" s="15"/>
      <c r="R16" s="59"/>
      <c r="AN16" s="14"/>
      <c r="AO16" s="14"/>
      <c r="AQ16" s="26" t="s">
        <v>16</v>
      </c>
      <c r="AR16" s="20" t="s">
        <v>3</v>
      </c>
      <c r="AS16" s="24">
        <v>1</v>
      </c>
      <c r="AT16" s="50" t="s">
        <v>15</v>
      </c>
      <c r="AU16" s="31" t="s">
        <v>83</v>
      </c>
      <c r="AV16" s="53">
        <v>0.2</v>
      </c>
    </row>
    <row r="17" spans="8:48" x14ac:dyDescent="0.3">
      <c r="H17" s="59"/>
      <c r="I17" s="15"/>
      <c r="J17" s="15"/>
      <c r="K17" s="16"/>
      <c r="L17" s="59"/>
      <c r="M17" s="3"/>
      <c r="N17" s="3"/>
      <c r="O17" s="15"/>
      <c r="P17" s="15"/>
      <c r="Q17" s="15"/>
      <c r="R17" s="59"/>
      <c r="AN17" s="14"/>
      <c r="AO17" s="14"/>
      <c r="AQ17" s="26" t="s">
        <v>15</v>
      </c>
      <c r="AR17" s="20" t="s">
        <v>52</v>
      </c>
      <c r="AS17" s="24">
        <v>2</v>
      </c>
      <c r="AT17" s="50"/>
      <c r="AU17" s="31"/>
      <c r="AV17" s="53"/>
    </row>
    <row r="18" spans="8:48" x14ac:dyDescent="0.3">
      <c r="H18" s="65"/>
      <c r="I18" s="15"/>
      <c r="J18" s="15"/>
      <c r="K18" s="16"/>
      <c r="L18" s="65"/>
      <c r="M18" s="3"/>
      <c r="N18" s="71"/>
      <c r="O18" s="15"/>
      <c r="P18" s="15"/>
      <c r="Q18" s="15"/>
      <c r="R18" s="59"/>
      <c r="AQ18" s="26" t="s">
        <v>15</v>
      </c>
      <c r="AR18" s="20" t="s">
        <v>54</v>
      </c>
      <c r="AS18" s="24">
        <v>1</v>
      </c>
      <c r="AT18" s="50"/>
      <c r="AU18" s="31"/>
      <c r="AV18" s="53"/>
    </row>
    <row r="19" spans="8:48" ht="15" x14ac:dyDescent="0.3">
      <c r="H19" s="59"/>
      <c r="I19" s="15"/>
      <c r="J19" s="15"/>
      <c r="K19" s="16"/>
      <c r="L19" s="4"/>
      <c r="M19" s="3"/>
      <c r="N19" s="3"/>
      <c r="O19" s="15"/>
      <c r="P19" s="15"/>
      <c r="Q19" s="15"/>
      <c r="R19" s="72"/>
      <c r="AQ19" s="26" t="s">
        <v>15</v>
      </c>
      <c r="AR19" s="20" t="s">
        <v>55</v>
      </c>
      <c r="AS19" s="24">
        <v>1</v>
      </c>
      <c r="AT19" s="50"/>
      <c r="AU19" s="31"/>
      <c r="AV19" s="53"/>
    </row>
    <row r="20" spans="8:48" ht="15" x14ac:dyDescent="0.3">
      <c r="H20" s="59"/>
      <c r="I20" s="15"/>
      <c r="J20" s="15"/>
      <c r="K20" s="16"/>
      <c r="L20" s="4"/>
      <c r="M20" s="3"/>
      <c r="N20" s="3"/>
      <c r="O20" s="15"/>
      <c r="P20" s="15"/>
      <c r="Q20" s="15"/>
      <c r="R20" s="72"/>
      <c r="AQ20" s="26" t="s">
        <v>16</v>
      </c>
      <c r="AR20" s="20" t="s">
        <v>52</v>
      </c>
      <c r="AS20" s="24">
        <v>5</v>
      </c>
      <c r="AT20" s="50"/>
      <c r="AU20" s="31"/>
      <c r="AV20" s="53"/>
    </row>
    <row r="21" spans="8:48" ht="15" x14ac:dyDescent="0.3">
      <c r="H21" s="59"/>
      <c r="I21" s="15"/>
      <c r="J21" s="15"/>
      <c r="K21" s="16"/>
      <c r="L21" s="4"/>
      <c r="M21" s="3"/>
      <c r="N21" s="3"/>
      <c r="O21" s="15"/>
      <c r="P21" s="15"/>
      <c r="Q21" s="15"/>
      <c r="R21" s="72"/>
      <c r="AQ21" s="26" t="s">
        <v>16</v>
      </c>
      <c r="AR21" s="20" t="s">
        <v>54</v>
      </c>
      <c r="AS21" s="24">
        <v>1</v>
      </c>
      <c r="AT21" s="50"/>
      <c r="AU21" s="31"/>
      <c r="AV21" s="53"/>
    </row>
    <row r="22" spans="8:48" ht="15" x14ac:dyDescent="0.3">
      <c r="H22" s="59"/>
      <c r="I22" s="15"/>
      <c r="J22" s="15"/>
      <c r="K22" s="16"/>
      <c r="L22" s="4"/>
      <c r="M22" s="3"/>
      <c r="N22" s="3"/>
      <c r="O22" s="15"/>
      <c r="P22" s="15"/>
      <c r="Q22" s="15"/>
      <c r="R22" s="72"/>
      <c r="AQ22" s="26" t="s">
        <v>16</v>
      </c>
      <c r="AR22" s="20" t="s">
        <v>55</v>
      </c>
      <c r="AS22" s="24">
        <v>1</v>
      </c>
      <c r="AT22" s="50"/>
      <c r="AU22" s="31"/>
      <c r="AV22" s="53"/>
    </row>
    <row r="23" spans="8:48" ht="15" x14ac:dyDescent="0.3">
      <c r="H23" s="59"/>
      <c r="I23" s="15"/>
      <c r="J23" s="15"/>
      <c r="K23" s="16"/>
      <c r="L23" s="4"/>
      <c r="M23" s="3"/>
      <c r="N23" s="3"/>
      <c r="O23" s="15"/>
      <c r="P23" s="15"/>
      <c r="Q23" s="15"/>
      <c r="R23" s="72"/>
      <c r="AQ23" s="26" t="s">
        <v>15</v>
      </c>
      <c r="AR23" s="20" t="s">
        <v>62</v>
      </c>
      <c r="AS23" s="24">
        <v>5</v>
      </c>
      <c r="AT23" s="50"/>
      <c r="AU23" s="31"/>
      <c r="AV23" s="53"/>
    </row>
    <row r="24" spans="8:48" ht="15" x14ac:dyDescent="0.3">
      <c r="H24" s="59"/>
      <c r="I24" s="15"/>
      <c r="J24" s="15"/>
      <c r="K24" s="16"/>
      <c r="L24" s="4"/>
      <c r="M24" s="3"/>
      <c r="N24" s="3"/>
      <c r="O24" s="15"/>
      <c r="P24" s="15"/>
      <c r="Q24" s="15"/>
      <c r="R24" s="72"/>
      <c r="AQ24" s="26" t="s">
        <v>15</v>
      </c>
      <c r="AR24" s="20" t="s">
        <v>59</v>
      </c>
      <c r="AS24" s="24">
        <v>1</v>
      </c>
      <c r="AT24" s="50"/>
      <c r="AU24" s="31"/>
      <c r="AV24" s="53"/>
    </row>
    <row r="25" spans="8:48" x14ac:dyDescent="0.3">
      <c r="H25" s="59"/>
      <c r="I25" s="15"/>
      <c r="J25" s="15"/>
      <c r="K25" s="16"/>
      <c r="L25" s="4"/>
      <c r="AQ25" s="26" t="s">
        <v>15</v>
      </c>
      <c r="AR25" s="20" t="s">
        <v>64</v>
      </c>
      <c r="AS25" s="24">
        <v>1</v>
      </c>
      <c r="AT25" s="50"/>
      <c r="AU25" s="31"/>
      <c r="AV25" s="53"/>
    </row>
    <row r="26" spans="8:48" x14ac:dyDescent="0.3">
      <c r="H26" s="59"/>
      <c r="I26" s="15"/>
      <c r="J26" s="15"/>
      <c r="K26" s="16"/>
      <c r="L26" s="4"/>
      <c r="AQ26" s="26" t="s">
        <v>16</v>
      </c>
      <c r="AR26" s="20" t="s">
        <v>62</v>
      </c>
      <c r="AS26" s="24">
        <v>7</v>
      </c>
      <c r="AT26" s="50"/>
      <c r="AU26" s="31"/>
      <c r="AV26" s="53"/>
    </row>
    <row r="27" spans="8:48" x14ac:dyDescent="0.3">
      <c r="H27" s="59"/>
      <c r="I27" s="15"/>
      <c r="J27" s="15"/>
      <c r="K27" s="16"/>
      <c r="L27" s="4"/>
      <c r="AQ27" s="26" t="s">
        <v>16</v>
      </c>
      <c r="AR27" s="20" t="s">
        <v>59</v>
      </c>
      <c r="AS27" s="24">
        <v>1</v>
      </c>
      <c r="AT27" s="50"/>
      <c r="AU27" s="31"/>
      <c r="AV27" s="53"/>
    </row>
    <row r="28" spans="8:48" x14ac:dyDescent="0.3">
      <c r="H28" s="59"/>
      <c r="I28" s="15"/>
      <c r="J28" s="15"/>
      <c r="K28" s="16"/>
      <c r="L28" s="4"/>
      <c r="AQ28" s="26" t="s">
        <v>16</v>
      </c>
      <c r="AR28" s="20" t="s">
        <v>64</v>
      </c>
      <c r="AS28" s="24">
        <v>1</v>
      </c>
      <c r="AT28" s="50"/>
      <c r="AU28" s="42"/>
      <c r="AV28" s="53"/>
    </row>
    <row r="29" spans="8:48" x14ac:dyDescent="0.3">
      <c r="H29" s="59"/>
      <c r="I29" s="15"/>
      <c r="J29" s="15"/>
      <c r="K29" s="16"/>
      <c r="L29" s="4"/>
      <c r="AQ29" s="26" t="s">
        <v>15</v>
      </c>
      <c r="AR29" s="20" t="s">
        <v>74</v>
      </c>
      <c r="AS29" s="24">
        <v>1</v>
      </c>
      <c r="AT29" s="50"/>
      <c r="AU29" s="31"/>
      <c r="AV29" s="53"/>
    </row>
    <row r="30" spans="8:48" x14ac:dyDescent="0.3">
      <c r="H30" s="59"/>
      <c r="I30" s="15"/>
      <c r="J30" s="15"/>
      <c r="K30" s="16"/>
      <c r="L30" s="4"/>
      <c r="AQ30" s="26" t="s">
        <v>15</v>
      </c>
      <c r="AR30" s="20" t="s">
        <v>66</v>
      </c>
      <c r="AS30" s="24">
        <v>4</v>
      </c>
      <c r="AT30" s="50"/>
      <c r="AU30" s="31"/>
      <c r="AV30" s="53"/>
    </row>
    <row r="31" spans="8:48" x14ac:dyDescent="0.3">
      <c r="H31" s="59"/>
      <c r="I31" s="15"/>
      <c r="J31" s="15"/>
      <c r="K31" s="16"/>
      <c r="L31" s="4"/>
      <c r="AQ31" s="26" t="s">
        <v>16</v>
      </c>
      <c r="AR31" s="20" t="s">
        <v>74</v>
      </c>
      <c r="AS31" s="24">
        <v>1</v>
      </c>
      <c r="AT31" s="50"/>
      <c r="AU31" s="31"/>
      <c r="AV31" s="53"/>
    </row>
    <row r="32" spans="8:48" x14ac:dyDescent="0.3">
      <c r="H32" s="59"/>
      <c r="I32" s="15"/>
      <c r="J32" s="15"/>
      <c r="K32" s="16"/>
      <c r="L32" s="4"/>
      <c r="AQ32" s="26" t="s">
        <v>16</v>
      </c>
      <c r="AR32" s="20" t="s">
        <v>66</v>
      </c>
      <c r="AS32" s="24">
        <v>1</v>
      </c>
      <c r="AT32" s="50"/>
      <c r="AU32" s="31"/>
      <c r="AV32" s="53"/>
    </row>
    <row r="33" spans="14:48" x14ac:dyDescent="0.3">
      <c r="AQ33" s="3"/>
      <c r="AR33" s="15"/>
      <c r="AT33" s="50"/>
      <c r="AU33" s="31"/>
      <c r="AV33" s="53"/>
    </row>
    <row r="34" spans="14:48" x14ac:dyDescent="0.3">
      <c r="AQ34" s="3"/>
      <c r="AR34" s="15"/>
      <c r="AT34" s="50"/>
      <c r="AU34" s="31"/>
      <c r="AV34" s="53"/>
    </row>
    <row r="35" spans="14:48" x14ac:dyDescent="0.3">
      <c r="AQ35" s="3"/>
      <c r="AR35" s="15"/>
      <c r="AT35" s="50"/>
      <c r="AU35" s="31"/>
      <c r="AV35" s="53"/>
    </row>
    <row r="36" spans="14:48" x14ac:dyDescent="0.3">
      <c r="AQ36" s="3"/>
      <c r="AR36" s="15"/>
      <c r="AT36" s="50"/>
      <c r="AU36" s="31"/>
      <c r="AV36" s="53"/>
    </row>
    <row r="37" spans="14:48" x14ac:dyDescent="0.3">
      <c r="AT37" s="50"/>
      <c r="AU37" s="31"/>
      <c r="AV37" s="53"/>
    </row>
    <row r="38" spans="14:48" x14ac:dyDescent="0.3">
      <c r="N38" s="9"/>
      <c r="O38" s="16"/>
      <c r="P38" s="16"/>
      <c r="Q38" s="16"/>
      <c r="AT38" s="50"/>
      <c r="AU38" s="31"/>
      <c r="AV38" s="53"/>
    </row>
    <row r="39" spans="14:48" x14ac:dyDescent="0.3">
      <c r="N39" s="9"/>
      <c r="O39" s="59"/>
      <c r="P39" s="16"/>
      <c r="Q39" s="16"/>
      <c r="AT39" s="50"/>
      <c r="AU39" s="31"/>
      <c r="AV39" s="53"/>
    </row>
    <row r="40" spans="14:48" x14ac:dyDescent="0.3">
      <c r="N40" s="9"/>
      <c r="O40" s="16"/>
      <c r="P40" s="16"/>
      <c r="Q40" s="16"/>
      <c r="AT40" s="50"/>
      <c r="AU40" s="31"/>
      <c r="AV40" s="53"/>
    </row>
    <row r="41" spans="14:48" x14ac:dyDescent="0.3">
      <c r="N41" s="9"/>
      <c r="O41" s="16"/>
      <c r="P41" s="16"/>
      <c r="Q41" s="16"/>
      <c r="AT41" s="50"/>
      <c r="AU41" s="31"/>
      <c r="AV41" s="53"/>
    </row>
    <row r="42" spans="14:48" x14ac:dyDescent="0.3">
      <c r="N42" s="9"/>
      <c r="O42" s="16"/>
      <c r="P42" s="16"/>
      <c r="Q42" s="16"/>
      <c r="AT42" s="50"/>
      <c r="AU42" s="31"/>
      <c r="AV42" s="53"/>
    </row>
    <row r="43" spans="14:48" x14ac:dyDescent="0.3">
      <c r="N43" s="9"/>
      <c r="O43" s="16"/>
      <c r="P43" s="16"/>
      <c r="Q43" s="16"/>
      <c r="AT43" s="50"/>
      <c r="AU43" s="31"/>
      <c r="AV43" s="53"/>
    </row>
    <row r="44" spans="14:48" x14ac:dyDescent="0.3">
      <c r="N44" s="9"/>
      <c r="O44" s="16"/>
      <c r="P44" s="16"/>
      <c r="Q44" s="16"/>
      <c r="AT44" s="50"/>
      <c r="AU44" s="31"/>
      <c r="AV44" s="53"/>
    </row>
    <row r="45" spans="14:48" x14ac:dyDescent="0.3">
      <c r="N45" s="9"/>
      <c r="O45" s="16"/>
      <c r="P45" s="16"/>
      <c r="Q45" s="16"/>
      <c r="AT45" s="50"/>
      <c r="AU45" s="31"/>
      <c r="AV45" s="53"/>
    </row>
    <row r="46" spans="14:48" x14ac:dyDescent="0.3">
      <c r="AT46" s="50"/>
      <c r="AU46" s="31"/>
      <c r="AV46" s="53"/>
    </row>
    <row r="47" spans="14:48" x14ac:dyDescent="0.3">
      <c r="AT47" s="50"/>
      <c r="AU47" s="31"/>
      <c r="AV47" s="53"/>
    </row>
    <row r="48" spans="14:48" x14ac:dyDescent="0.3">
      <c r="AT48" s="50"/>
      <c r="AU48" s="31"/>
      <c r="AV48" s="53"/>
    </row>
    <row r="49" spans="46:48" x14ac:dyDescent="0.3">
      <c r="AT49" s="50"/>
      <c r="AU49" s="31"/>
      <c r="AV49" s="53"/>
    </row>
    <row r="50" spans="46:48" x14ac:dyDescent="0.3">
      <c r="AT50" s="50"/>
      <c r="AU50" s="31"/>
      <c r="AV50" s="53"/>
    </row>
    <row r="51" spans="46:48" x14ac:dyDescent="0.3">
      <c r="AT51" s="50"/>
      <c r="AU51" s="31"/>
      <c r="AV51" s="53"/>
    </row>
    <row r="52" spans="46:48" x14ac:dyDescent="0.3">
      <c r="AT52" s="50"/>
      <c r="AU52" s="31"/>
      <c r="AV52" s="53"/>
    </row>
    <row r="53" spans="46:48" x14ac:dyDescent="0.3">
      <c r="AT53" s="50"/>
      <c r="AU53" s="31"/>
      <c r="AV53" s="53"/>
    </row>
    <row r="54" spans="46:48" x14ac:dyDescent="0.3">
      <c r="AT54" s="50"/>
      <c r="AU54" s="31"/>
      <c r="AV54" s="53"/>
    </row>
    <row r="55" spans="46:48" x14ac:dyDescent="0.3">
      <c r="AT55" s="50"/>
      <c r="AU55" s="31"/>
      <c r="AV55" s="53"/>
    </row>
    <row r="56" spans="46:48" x14ac:dyDescent="0.3">
      <c r="AT56" s="50"/>
      <c r="AU56" s="31"/>
      <c r="AV56" s="53"/>
    </row>
    <row r="57" spans="46:48" x14ac:dyDescent="0.3">
      <c r="AT57" s="50"/>
      <c r="AU57" s="31"/>
      <c r="AV57" s="53"/>
    </row>
    <row r="58" spans="46:48" x14ac:dyDescent="0.3">
      <c r="AT58" s="50"/>
      <c r="AU58" s="31"/>
      <c r="AV58" s="53"/>
    </row>
    <row r="59" spans="46:48" x14ac:dyDescent="0.3">
      <c r="AT59" s="50"/>
      <c r="AU59" s="31"/>
      <c r="AV59" s="53"/>
    </row>
    <row r="60" spans="46:48" x14ac:dyDescent="0.3">
      <c r="AT60" s="50"/>
      <c r="AU60" s="42"/>
      <c r="AV60" s="53"/>
    </row>
    <row r="61" spans="46:48" x14ac:dyDescent="0.3">
      <c r="AT61" s="50"/>
      <c r="AU61" s="31"/>
      <c r="AV61" s="53"/>
    </row>
    <row r="62" spans="46:48" x14ac:dyDescent="0.3">
      <c r="AT62" s="50"/>
      <c r="AU62" s="31"/>
      <c r="AV62" s="53"/>
    </row>
    <row r="63" spans="46:48" x14ac:dyDescent="0.3">
      <c r="AT63" s="50"/>
      <c r="AU63" s="31"/>
      <c r="AV63" s="53"/>
    </row>
    <row r="64" spans="46:48" x14ac:dyDescent="0.3">
      <c r="AT64" s="50"/>
      <c r="AU64" s="31"/>
      <c r="AV64" s="53"/>
    </row>
    <row r="65" spans="46:48" x14ac:dyDescent="0.3">
      <c r="AT65" s="50"/>
      <c r="AU65" s="31"/>
      <c r="AV65" s="53"/>
    </row>
    <row r="67" spans="46:48" x14ac:dyDescent="0.3">
      <c r="AT67" s="50"/>
      <c r="AU67" s="31"/>
      <c r="AV67" s="53"/>
    </row>
    <row r="68" spans="46:48" x14ac:dyDescent="0.3">
      <c r="AT68" s="50"/>
      <c r="AU68" s="31"/>
      <c r="AV68" s="53"/>
    </row>
    <row r="69" spans="46:48" x14ac:dyDescent="0.3">
      <c r="AT69" s="3"/>
      <c r="AU69" s="17"/>
      <c r="AV69" s="4"/>
    </row>
    <row r="70" spans="46:48" x14ac:dyDescent="0.3">
      <c r="AT70" s="3"/>
      <c r="AU70" s="17"/>
      <c r="AV70" s="4"/>
    </row>
    <row r="71" spans="46:48" x14ac:dyDescent="0.3">
      <c r="AT71" s="3"/>
      <c r="AU71" s="17"/>
      <c r="AV71" s="4"/>
    </row>
    <row r="72" spans="46:48" x14ac:dyDescent="0.3">
      <c r="AT72" s="3"/>
      <c r="AU72" s="17"/>
      <c r="AV72" s="4"/>
    </row>
    <row r="73" spans="46:48" x14ac:dyDescent="0.3">
      <c r="AT73" s="3"/>
      <c r="AU73" s="17"/>
      <c r="AV73" s="4"/>
    </row>
    <row r="74" spans="46:48" x14ac:dyDescent="0.3">
      <c r="AT74" s="3"/>
      <c r="AU74" s="17"/>
      <c r="AV74" s="4"/>
    </row>
    <row r="75" spans="46:48" x14ac:dyDescent="0.3">
      <c r="AT75" s="3"/>
      <c r="AU75" s="17"/>
      <c r="AV75" s="4"/>
    </row>
    <row r="76" spans="46:48" x14ac:dyDescent="0.3">
      <c r="AT76" s="3"/>
      <c r="AU76" s="17"/>
      <c r="AV76" s="4"/>
    </row>
    <row r="77" spans="46:48" x14ac:dyDescent="0.3">
      <c r="AT77" s="3"/>
      <c r="AU77" s="17"/>
      <c r="AV77" s="4"/>
    </row>
    <row r="78" spans="46:48" x14ac:dyDescent="0.3">
      <c r="AT78" s="3"/>
      <c r="AU78" s="17"/>
      <c r="AV78" s="4"/>
    </row>
    <row r="79" spans="46:48" x14ac:dyDescent="0.3">
      <c r="AT79" s="3"/>
      <c r="AV79" s="4"/>
    </row>
    <row r="80" spans="46:48" x14ac:dyDescent="0.3">
      <c r="AT80" s="3"/>
      <c r="AV80" s="4"/>
    </row>
  </sheetData>
  <mergeCells count="9">
    <mergeCell ref="AT1:AV1"/>
    <mergeCell ref="AK1:AP1"/>
    <mergeCell ref="AQ1:AS1"/>
    <mergeCell ref="A1:F1"/>
    <mergeCell ref="G1:L1"/>
    <mergeCell ref="M1:R1"/>
    <mergeCell ref="S1:X1"/>
    <mergeCell ref="Y1:AD1"/>
    <mergeCell ref="AE1:AJ1"/>
  </mergeCells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BB12B-B586-4C0F-9CF4-2667A6798728}">
  <dimension ref="A1:B2"/>
  <sheetViews>
    <sheetView workbookViewId="0">
      <selection activeCell="A2" sqref="A2:B2"/>
    </sheetView>
  </sheetViews>
  <sheetFormatPr baseColWidth="10" defaultRowHeight="14.4" x14ac:dyDescent="0.3"/>
  <sheetData>
    <row r="1" spans="1:2" x14ac:dyDescent="0.3">
      <c r="A1" s="117" t="s">
        <v>252</v>
      </c>
      <c r="B1" s="117">
        <v>0.45</v>
      </c>
    </row>
    <row r="2" spans="1:2" x14ac:dyDescent="0.3">
      <c r="A2" s="134" t="s">
        <v>253</v>
      </c>
      <c r="B2" s="134">
        <v>0.04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B1359-9340-4E00-924E-C05856876123}">
  <dimension ref="A1:P77"/>
  <sheetViews>
    <sheetView topLeftCell="A66" zoomScale="86" workbookViewId="0">
      <selection activeCell="E89" sqref="E89"/>
    </sheetView>
  </sheetViews>
  <sheetFormatPr baseColWidth="10" defaultColWidth="11.5546875" defaultRowHeight="13.8" x14ac:dyDescent="0.3"/>
  <cols>
    <col min="1" max="1" width="13.6640625" style="130" customWidth="1"/>
    <col min="2" max="2" width="11.5546875" style="1"/>
    <col min="3" max="3" width="11.5546875" style="115"/>
    <col min="4" max="4" width="11.5546875" style="1"/>
    <col min="5" max="5" width="14.33203125" style="130" customWidth="1"/>
    <col min="6" max="7" width="11.5546875" style="1"/>
    <col min="8" max="8" width="11.5546875" style="115"/>
    <col min="9" max="9" width="11.5546875" style="1"/>
    <col min="10" max="10" width="12.6640625" style="130" customWidth="1"/>
    <col min="11" max="11" width="17.33203125" style="1" customWidth="1"/>
    <col min="12" max="12" width="22.33203125" style="115" customWidth="1"/>
    <col min="13" max="13" width="11.5546875" style="1"/>
    <col min="14" max="14" width="13.44140625" style="130" customWidth="1"/>
    <col min="15" max="15" width="11.5546875" style="1"/>
    <col min="16" max="16" width="11.5546875" style="115"/>
    <col min="17" max="16384" width="11.5546875" style="1"/>
  </cols>
  <sheetData>
    <row r="1" spans="1:16" ht="15" customHeight="1" x14ac:dyDescent="0.3">
      <c r="A1" s="408" t="s">
        <v>275</v>
      </c>
      <c r="B1" s="409"/>
      <c r="C1" s="410"/>
      <c r="D1" s="325"/>
      <c r="E1" s="408" t="s">
        <v>274</v>
      </c>
      <c r="F1" s="409"/>
      <c r="G1" s="409"/>
      <c r="H1" s="410"/>
      <c r="I1" s="325"/>
      <c r="J1" s="408" t="s">
        <v>273</v>
      </c>
      <c r="K1" s="409"/>
      <c r="L1" s="410"/>
      <c r="M1" s="325"/>
      <c r="N1" s="408" t="s">
        <v>272</v>
      </c>
      <c r="O1" s="409"/>
      <c r="P1" s="410"/>
    </row>
    <row r="2" spans="1:16" ht="31.8" thickBot="1" x14ac:dyDescent="0.35">
      <c r="A2" s="44" t="s">
        <v>88</v>
      </c>
      <c r="B2" s="131" t="s">
        <v>89</v>
      </c>
      <c r="C2" s="132" t="s">
        <v>90</v>
      </c>
      <c r="D2" s="118" t="s">
        <v>91</v>
      </c>
      <c r="E2" s="116" t="s">
        <v>92</v>
      </c>
      <c r="F2" s="325"/>
      <c r="G2" s="325"/>
      <c r="I2" s="325"/>
      <c r="J2" s="324"/>
      <c r="K2" s="325"/>
      <c r="M2" s="325"/>
      <c r="N2" s="324"/>
      <c r="O2" s="325"/>
    </row>
    <row r="3" spans="1:16" s="120" customFormat="1" ht="69" x14ac:dyDescent="0.3">
      <c r="A3" s="320"/>
      <c r="B3" s="119" t="s">
        <v>271</v>
      </c>
      <c r="C3" s="133" t="s">
        <v>270</v>
      </c>
      <c r="D3" s="323"/>
      <c r="E3" s="25" t="s">
        <v>44</v>
      </c>
      <c r="F3" s="124" t="s">
        <v>29</v>
      </c>
      <c r="G3" s="124" t="s">
        <v>269</v>
      </c>
      <c r="H3" s="52" t="s">
        <v>268</v>
      </c>
      <c r="I3" s="323"/>
      <c r="J3" s="25" t="s">
        <v>44</v>
      </c>
      <c r="K3" s="124" t="s">
        <v>267</v>
      </c>
      <c r="L3" s="52" t="s">
        <v>266</v>
      </c>
      <c r="M3" s="323"/>
      <c r="N3" s="126" t="s">
        <v>44</v>
      </c>
      <c r="O3" s="127" t="s">
        <v>265</v>
      </c>
      <c r="P3" s="128" t="s">
        <v>264</v>
      </c>
    </row>
    <row r="4" spans="1:16" ht="27.6" x14ac:dyDescent="0.3">
      <c r="A4" s="325" t="s">
        <v>263</v>
      </c>
      <c r="B4" s="325">
        <v>1</v>
      </c>
      <c r="C4" s="325">
        <v>129.47999999999999</v>
      </c>
      <c r="D4" s="325"/>
      <c r="E4" s="27" t="s">
        <v>258</v>
      </c>
      <c r="F4" s="121" t="s">
        <v>6</v>
      </c>
      <c r="G4" s="122" t="s">
        <v>262</v>
      </c>
      <c r="H4" s="123" t="s">
        <v>261</v>
      </c>
      <c r="I4" s="325"/>
      <c r="J4" s="25" t="s">
        <v>258</v>
      </c>
      <c r="K4" s="124" t="s">
        <v>260</v>
      </c>
      <c r="L4" s="125" t="s">
        <v>259</v>
      </c>
      <c r="M4" s="325"/>
      <c r="N4" s="126" t="s">
        <v>258</v>
      </c>
      <c r="O4" s="127" t="s">
        <v>213</v>
      </c>
      <c r="P4" s="128" t="s">
        <v>257</v>
      </c>
    </row>
    <row r="5" spans="1:16" ht="14.4" x14ac:dyDescent="0.3">
      <c r="A5" s="324"/>
      <c r="B5" s="325"/>
      <c r="D5" s="325"/>
      <c r="E5" s="325" t="s">
        <v>15</v>
      </c>
      <c r="F5" s="325" t="s">
        <v>189</v>
      </c>
      <c r="G5" s="373">
        <v>800</v>
      </c>
      <c r="H5" s="331">
        <v>0</v>
      </c>
      <c r="I5" s="325"/>
      <c r="J5" s="325" t="s">
        <v>15</v>
      </c>
      <c r="K5" s="134" t="s">
        <v>590</v>
      </c>
      <c r="L5" s="374">
        <v>1700</v>
      </c>
      <c r="M5" s="325"/>
      <c r="N5" s="222" t="s">
        <v>15</v>
      </c>
      <c r="O5" s="134" t="s">
        <v>624</v>
      </c>
      <c r="P5" s="325">
        <v>800</v>
      </c>
    </row>
    <row r="6" spans="1:16" ht="14.4" x14ac:dyDescent="0.3">
      <c r="A6" s="324"/>
      <c r="B6" s="325"/>
      <c r="D6" s="325"/>
      <c r="E6" s="325" t="s">
        <v>15</v>
      </c>
      <c r="F6" s="325" t="s">
        <v>7</v>
      </c>
      <c r="G6" s="331">
        <v>20</v>
      </c>
      <c r="H6" s="331">
        <v>0</v>
      </c>
      <c r="I6" s="325"/>
      <c r="J6" s="325" t="s">
        <v>15</v>
      </c>
      <c r="K6" s="134" t="s">
        <v>591</v>
      </c>
      <c r="L6" s="374">
        <v>46.6</v>
      </c>
      <c r="M6" s="325"/>
      <c r="N6" s="222" t="s">
        <v>16</v>
      </c>
      <c r="O6" s="134" t="s">
        <v>624</v>
      </c>
      <c r="P6" s="325">
        <v>800</v>
      </c>
    </row>
    <row r="7" spans="1:16" ht="14.4" x14ac:dyDescent="0.3">
      <c r="A7" s="324"/>
      <c r="B7" s="325"/>
      <c r="D7" s="325"/>
      <c r="E7" s="325" t="s">
        <v>15</v>
      </c>
      <c r="F7" s="134" t="s">
        <v>614</v>
      </c>
      <c r="G7" s="325">
        <v>0</v>
      </c>
      <c r="H7" s="331">
        <v>800</v>
      </c>
      <c r="I7" s="325"/>
      <c r="J7" s="325" t="s">
        <v>15</v>
      </c>
      <c r="K7" s="134" t="s">
        <v>592</v>
      </c>
      <c r="L7" s="374">
        <v>310</v>
      </c>
      <c r="M7" s="325"/>
      <c r="N7" s="222" t="s">
        <v>256</v>
      </c>
      <c r="O7" s="134" t="s">
        <v>624</v>
      </c>
      <c r="P7" s="325">
        <v>800</v>
      </c>
    </row>
    <row r="8" spans="1:16" ht="14.4" x14ac:dyDescent="0.3">
      <c r="A8" s="324"/>
      <c r="B8" s="325"/>
      <c r="D8" s="325"/>
      <c r="E8" s="325" t="s">
        <v>15</v>
      </c>
      <c r="F8" s="134" t="s">
        <v>606</v>
      </c>
      <c r="G8" s="325">
        <v>0</v>
      </c>
      <c r="H8" s="331">
        <v>80</v>
      </c>
      <c r="I8" s="325"/>
      <c r="J8" s="325" t="s">
        <v>15</v>
      </c>
      <c r="K8" s="134" t="s">
        <v>593</v>
      </c>
      <c r="L8" s="374">
        <v>700</v>
      </c>
      <c r="M8" s="325"/>
      <c r="N8" s="222" t="s">
        <v>255</v>
      </c>
      <c r="O8" s="134" t="s">
        <v>624</v>
      </c>
      <c r="P8" s="325">
        <v>800</v>
      </c>
    </row>
    <row r="9" spans="1:16" ht="14.4" x14ac:dyDescent="0.3">
      <c r="A9" s="324"/>
      <c r="B9" s="325"/>
      <c r="D9" s="325"/>
      <c r="E9" s="325" t="s">
        <v>15</v>
      </c>
      <c r="F9" s="134" t="s">
        <v>617</v>
      </c>
      <c r="G9" s="325">
        <v>0</v>
      </c>
      <c r="H9" s="331">
        <v>450</v>
      </c>
      <c r="I9" s="325"/>
      <c r="J9" s="325" t="s">
        <v>15</v>
      </c>
      <c r="K9" s="134" t="s">
        <v>594</v>
      </c>
      <c r="L9" s="374">
        <v>600</v>
      </c>
      <c r="M9" s="325"/>
      <c r="N9" s="222" t="s">
        <v>588</v>
      </c>
      <c r="O9" s="134" t="s">
        <v>624</v>
      </c>
      <c r="P9" s="325">
        <v>800</v>
      </c>
    </row>
    <row r="10" spans="1:16" ht="14.4" x14ac:dyDescent="0.3">
      <c r="A10" s="324"/>
      <c r="B10" s="325"/>
      <c r="D10" s="325"/>
      <c r="E10" s="325" t="s">
        <v>15</v>
      </c>
      <c r="F10" s="134" t="s">
        <v>112</v>
      </c>
      <c r="G10" s="325">
        <v>0</v>
      </c>
      <c r="H10" s="331">
        <v>34</v>
      </c>
      <c r="I10" s="325"/>
      <c r="J10" s="325" t="s">
        <v>15</v>
      </c>
      <c r="K10" s="134" t="s">
        <v>595</v>
      </c>
      <c r="L10" s="374">
        <v>81</v>
      </c>
      <c r="M10" s="325"/>
      <c r="N10" s="222"/>
      <c r="O10" s="222"/>
      <c r="P10" s="222"/>
    </row>
    <row r="11" spans="1:16" ht="14.4" x14ac:dyDescent="0.3">
      <c r="A11" s="324"/>
      <c r="B11" s="325"/>
      <c r="D11" s="325"/>
      <c r="E11" s="325" t="s">
        <v>15</v>
      </c>
      <c r="F11" s="134" t="s">
        <v>616</v>
      </c>
      <c r="G11" s="325">
        <v>0</v>
      </c>
      <c r="H11" s="331">
        <v>800</v>
      </c>
      <c r="I11" s="325"/>
      <c r="J11" s="325" t="s">
        <v>15</v>
      </c>
      <c r="K11" s="134" t="s">
        <v>597</v>
      </c>
      <c r="L11" s="374">
        <v>46.6</v>
      </c>
      <c r="M11" s="325"/>
      <c r="N11" s="222"/>
      <c r="O11" s="222"/>
      <c r="P11" s="222"/>
    </row>
    <row r="12" spans="1:16" ht="14.4" x14ac:dyDescent="0.3">
      <c r="A12" s="324"/>
      <c r="B12" s="325"/>
      <c r="D12" s="325"/>
      <c r="E12" s="325" t="s">
        <v>15</v>
      </c>
      <c r="F12" s="134" t="s">
        <v>613</v>
      </c>
      <c r="G12" s="325">
        <v>0</v>
      </c>
      <c r="H12" s="331">
        <v>60</v>
      </c>
      <c r="I12" s="325"/>
      <c r="J12" s="325" t="s">
        <v>15</v>
      </c>
      <c r="K12" s="134" t="s">
        <v>598</v>
      </c>
      <c r="L12" s="374">
        <v>125</v>
      </c>
      <c r="M12" s="325"/>
      <c r="N12" s="222"/>
      <c r="O12" s="222"/>
      <c r="P12" s="222"/>
    </row>
    <row r="13" spans="1:16" ht="14.4" x14ac:dyDescent="0.3">
      <c r="A13" s="324"/>
      <c r="B13" s="325"/>
      <c r="D13" s="325"/>
      <c r="E13" s="325" t="s">
        <v>15</v>
      </c>
      <c r="F13" s="134" t="s">
        <v>628</v>
      </c>
      <c r="G13" s="325">
        <v>0</v>
      </c>
      <c r="H13" s="375">
        <v>2000</v>
      </c>
      <c r="I13" s="325"/>
      <c r="J13" s="325" t="s">
        <v>15</v>
      </c>
      <c r="K13" s="134" t="s">
        <v>600</v>
      </c>
      <c r="L13" s="374">
        <v>310</v>
      </c>
      <c r="M13" s="325"/>
      <c r="N13" s="222"/>
      <c r="O13" s="222"/>
      <c r="P13" s="222"/>
    </row>
    <row r="14" spans="1:16" ht="14.4" x14ac:dyDescent="0.3">
      <c r="A14" s="324"/>
      <c r="B14" s="325"/>
      <c r="D14" s="325"/>
      <c r="E14" s="325" t="s">
        <v>15</v>
      </c>
      <c r="F14" s="134" t="s">
        <v>610</v>
      </c>
      <c r="G14" s="325">
        <v>0</v>
      </c>
      <c r="H14" s="375">
        <v>350</v>
      </c>
      <c r="I14" s="325"/>
      <c r="J14" s="325" t="s">
        <v>15</v>
      </c>
      <c r="K14" s="134" t="s">
        <v>603</v>
      </c>
      <c r="L14" s="374">
        <v>350</v>
      </c>
      <c r="M14" s="325"/>
      <c r="N14" s="222"/>
      <c r="O14" s="222"/>
      <c r="P14" s="222"/>
    </row>
    <row r="15" spans="1:16" ht="14.4" x14ac:dyDescent="0.3">
      <c r="A15" s="324"/>
      <c r="B15" s="325"/>
      <c r="D15" s="325"/>
      <c r="E15" s="325" t="s">
        <v>15</v>
      </c>
      <c r="F15" s="134" t="s">
        <v>612</v>
      </c>
      <c r="G15" s="325">
        <v>0</v>
      </c>
      <c r="H15" s="375">
        <v>50</v>
      </c>
      <c r="I15" s="325"/>
      <c r="J15" s="325" t="s">
        <v>15</v>
      </c>
      <c r="K15" s="134" t="s">
        <v>604</v>
      </c>
      <c r="L15" s="374">
        <v>15</v>
      </c>
      <c r="M15" s="325"/>
      <c r="N15" s="222"/>
      <c r="O15" s="222"/>
      <c r="P15" s="222"/>
    </row>
    <row r="16" spans="1:16" ht="14.4" x14ac:dyDescent="0.3">
      <c r="A16" s="324"/>
      <c r="B16" s="325"/>
      <c r="D16" s="325"/>
      <c r="E16" s="325" t="s">
        <v>15</v>
      </c>
      <c r="F16" s="134" t="s">
        <v>629</v>
      </c>
      <c r="G16" s="325">
        <v>0</v>
      </c>
      <c r="H16" s="375">
        <v>1200</v>
      </c>
      <c r="I16" s="325"/>
      <c r="J16" s="325" t="s">
        <v>16</v>
      </c>
      <c r="K16" s="134" t="s">
        <v>592</v>
      </c>
      <c r="L16" s="374">
        <v>310</v>
      </c>
      <c r="M16" s="325"/>
      <c r="N16" s="222"/>
      <c r="O16" s="222"/>
      <c r="P16" s="222"/>
    </row>
    <row r="17" spans="1:16" ht="14.4" x14ac:dyDescent="0.3">
      <c r="A17" s="324"/>
      <c r="B17" s="325"/>
      <c r="D17" s="325"/>
      <c r="E17" s="325" t="s">
        <v>15</v>
      </c>
      <c r="F17" s="134" t="s">
        <v>615</v>
      </c>
      <c r="G17" s="325">
        <v>0</v>
      </c>
      <c r="H17" s="331">
        <v>350</v>
      </c>
      <c r="I17" s="325"/>
      <c r="J17" s="325" t="s">
        <v>16</v>
      </c>
      <c r="K17" s="134" t="s">
        <v>594</v>
      </c>
      <c r="L17" s="374">
        <v>600</v>
      </c>
      <c r="M17" s="325"/>
      <c r="N17" s="222"/>
      <c r="O17" s="222"/>
      <c r="P17" s="222"/>
    </row>
    <row r="18" spans="1:16" ht="14.4" x14ac:dyDescent="0.3">
      <c r="A18" s="324"/>
      <c r="B18" s="325"/>
      <c r="D18" s="325"/>
      <c r="E18" s="325" t="s">
        <v>15</v>
      </c>
      <c r="F18" s="134" t="s">
        <v>607</v>
      </c>
      <c r="G18" s="325">
        <v>0</v>
      </c>
      <c r="H18" s="331">
        <v>175</v>
      </c>
      <c r="I18" s="325"/>
      <c r="J18" s="325" t="s">
        <v>16</v>
      </c>
      <c r="K18" s="134" t="s">
        <v>596</v>
      </c>
      <c r="L18" s="374">
        <v>450</v>
      </c>
      <c r="M18" s="325"/>
      <c r="N18" s="222"/>
      <c r="O18" s="222"/>
      <c r="P18" s="222"/>
    </row>
    <row r="19" spans="1:16" ht="14.4" x14ac:dyDescent="0.3">
      <c r="A19" s="324"/>
      <c r="B19" s="325"/>
      <c r="D19" s="325"/>
      <c r="E19" s="325" t="s">
        <v>15</v>
      </c>
      <c r="F19" s="134" t="s">
        <v>609</v>
      </c>
      <c r="G19" s="325">
        <v>0</v>
      </c>
      <c r="H19" s="331">
        <v>110</v>
      </c>
      <c r="I19" s="325"/>
      <c r="J19" s="325" t="s">
        <v>16</v>
      </c>
      <c r="K19" s="134" t="s">
        <v>599</v>
      </c>
      <c r="L19" s="374">
        <v>100</v>
      </c>
      <c r="M19" s="325"/>
      <c r="N19" s="324"/>
      <c r="O19" s="325"/>
    </row>
    <row r="20" spans="1:16" ht="14.4" x14ac:dyDescent="0.3">
      <c r="A20" s="324"/>
      <c r="B20" s="325"/>
      <c r="D20" s="325"/>
      <c r="E20" s="325" t="s">
        <v>15</v>
      </c>
      <c r="F20" s="325" t="s">
        <v>254</v>
      </c>
      <c r="G20" s="325">
        <v>0.01</v>
      </c>
      <c r="H20" s="331">
        <v>0</v>
      </c>
      <c r="I20" s="325"/>
      <c r="J20" s="325" t="s">
        <v>16</v>
      </c>
      <c r="K20" s="134" t="s">
        <v>601</v>
      </c>
      <c r="L20" s="374">
        <v>20</v>
      </c>
      <c r="M20" s="325"/>
      <c r="N20" s="324"/>
      <c r="O20" s="325"/>
    </row>
    <row r="21" spans="1:16" ht="14.4" x14ac:dyDescent="0.3">
      <c r="A21" s="324"/>
      <c r="B21" s="325"/>
      <c r="D21" s="325"/>
      <c r="E21" s="325" t="s">
        <v>16</v>
      </c>
      <c r="F21" s="325" t="s">
        <v>189</v>
      </c>
      <c r="G21" s="331">
        <v>800</v>
      </c>
      <c r="H21" s="331">
        <v>0</v>
      </c>
      <c r="I21" s="325"/>
      <c r="J21" s="325" t="s">
        <v>16</v>
      </c>
      <c r="K21" s="376" t="s">
        <v>604</v>
      </c>
      <c r="L21" s="374">
        <v>15</v>
      </c>
      <c r="M21" s="325"/>
      <c r="N21" s="324"/>
      <c r="O21" s="325"/>
    </row>
    <row r="22" spans="1:16" ht="14.4" x14ac:dyDescent="0.3">
      <c r="A22" s="324"/>
      <c r="B22" s="325"/>
      <c r="D22" s="325"/>
      <c r="E22" s="325" t="s">
        <v>16</v>
      </c>
      <c r="F22" s="325" t="s">
        <v>7</v>
      </c>
      <c r="G22" s="331">
        <v>20</v>
      </c>
      <c r="H22" s="331">
        <v>0</v>
      </c>
      <c r="I22" s="325"/>
      <c r="J22" s="325" t="s">
        <v>256</v>
      </c>
      <c r="K22" s="134" t="s">
        <v>590</v>
      </c>
      <c r="L22" s="374">
        <v>1700</v>
      </c>
      <c r="M22" s="325"/>
      <c r="N22" s="324"/>
      <c r="O22" s="325"/>
    </row>
    <row r="23" spans="1:16" ht="14.4" x14ac:dyDescent="0.3">
      <c r="A23" s="324"/>
      <c r="B23" s="325"/>
      <c r="D23" s="325"/>
      <c r="E23" s="325" t="s">
        <v>16</v>
      </c>
      <c r="F23" s="134" t="s">
        <v>617</v>
      </c>
      <c r="G23" s="325">
        <v>0</v>
      </c>
      <c r="H23" s="331">
        <v>450</v>
      </c>
      <c r="I23" s="325"/>
      <c r="J23" s="325" t="s">
        <v>256</v>
      </c>
      <c r="K23" s="134" t="s">
        <v>591</v>
      </c>
      <c r="L23" s="374">
        <v>46.6</v>
      </c>
      <c r="M23" s="325"/>
      <c r="N23" s="324"/>
      <c r="O23" s="325"/>
    </row>
    <row r="24" spans="1:16" ht="14.4" x14ac:dyDescent="0.3">
      <c r="A24" s="324"/>
      <c r="B24" s="325"/>
      <c r="D24" s="325"/>
      <c r="E24" s="325" t="s">
        <v>16</v>
      </c>
      <c r="F24" s="134" t="s">
        <v>616</v>
      </c>
      <c r="G24" s="325">
        <v>0</v>
      </c>
      <c r="H24" s="331">
        <v>800</v>
      </c>
      <c r="I24" s="325"/>
      <c r="J24" s="325" t="s">
        <v>256</v>
      </c>
      <c r="K24" s="134" t="s">
        <v>593</v>
      </c>
      <c r="L24" s="374">
        <v>700</v>
      </c>
      <c r="M24" s="325"/>
      <c r="N24" s="324"/>
      <c r="O24" s="325"/>
    </row>
    <row r="25" spans="1:16" ht="14.4" x14ac:dyDescent="0.3">
      <c r="A25" s="324"/>
      <c r="B25" s="325"/>
      <c r="D25" s="325"/>
      <c r="E25" s="325" t="s">
        <v>16</v>
      </c>
      <c r="F25" s="134" t="s">
        <v>618</v>
      </c>
      <c r="G25" s="325">
        <v>0</v>
      </c>
      <c r="H25" s="331">
        <v>85</v>
      </c>
      <c r="I25" s="325"/>
      <c r="J25" s="325" t="s">
        <v>256</v>
      </c>
      <c r="K25" s="134" t="s">
        <v>596</v>
      </c>
      <c r="L25" s="374">
        <v>450</v>
      </c>
      <c r="M25" s="325"/>
      <c r="N25" s="324"/>
      <c r="O25" s="325"/>
    </row>
    <row r="26" spans="1:16" ht="14.4" x14ac:dyDescent="0.3">
      <c r="A26" s="324"/>
      <c r="B26" s="325"/>
      <c r="D26" s="325"/>
      <c r="E26" s="325" t="s">
        <v>16</v>
      </c>
      <c r="F26" s="134" t="s">
        <v>629</v>
      </c>
      <c r="G26" s="325">
        <v>0</v>
      </c>
      <c r="H26" s="375">
        <v>1200</v>
      </c>
      <c r="I26" s="325"/>
      <c r="J26" s="325" t="s">
        <v>256</v>
      </c>
      <c r="K26" s="134" t="s">
        <v>597</v>
      </c>
      <c r="L26" s="374">
        <v>46.6</v>
      </c>
      <c r="M26" s="325"/>
      <c r="N26" s="324"/>
      <c r="O26" s="325"/>
    </row>
    <row r="27" spans="1:16" ht="14.4" x14ac:dyDescent="0.3">
      <c r="A27" s="324"/>
      <c r="B27" s="325"/>
      <c r="D27" s="325"/>
      <c r="E27" s="325" t="s">
        <v>16</v>
      </c>
      <c r="F27" s="134" t="s">
        <v>619</v>
      </c>
      <c r="G27" s="325">
        <v>0</v>
      </c>
      <c r="H27" s="375">
        <v>35</v>
      </c>
      <c r="I27" s="325"/>
      <c r="J27" s="325" t="s">
        <v>256</v>
      </c>
      <c r="K27" s="134" t="s">
        <v>598</v>
      </c>
      <c r="L27" s="374">
        <v>125</v>
      </c>
      <c r="M27" s="325"/>
      <c r="N27" s="324"/>
      <c r="O27" s="325"/>
    </row>
    <row r="28" spans="1:16" ht="14.4" x14ac:dyDescent="0.3">
      <c r="A28" s="324"/>
      <c r="B28" s="325"/>
      <c r="D28" s="325"/>
      <c r="E28" s="325" t="s">
        <v>16</v>
      </c>
      <c r="F28" s="134" t="s">
        <v>620</v>
      </c>
      <c r="G28" s="325">
        <v>0</v>
      </c>
      <c r="H28" s="375">
        <v>110</v>
      </c>
      <c r="I28" s="325"/>
      <c r="J28" s="325" t="s">
        <v>256</v>
      </c>
      <c r="K28" s="134" t="s">
        <v>603</v>
      </c>
      <c r="L28" s="374">
        <v>350</v>
      </c>
      <c r="M28" s="325"/>
      <c r="N28" s="324"/>
      <c r="O28" s="325"/>
    </row>
    <row r="29" spans="1:16" ht="14.4" x14ac:dyDescent="0.3">
      <c r="A29" s="324"/>
      <c r="B29" s="325"/>
      <c r="D29" s="325"/>
      <c r="E29" s="325" t="s">
        <v>16</v>
      </c>
      <c r="F29" s="134" t="s">
        <v>609</v>
      </c>
      <c r="G29" s="325">
        <v>0</v>
      </c>
      <c r="H29" s="375">
        <v>110</v>
      </c>
      <c r="I29" s="325"/>
      <c r="J29" s="325" t="s">
        <v>256</v>
      </c>
      <c r="K29" s="134" t="s">
        <v>604</v>
      </c>
      <c r="L29" s="374">
        <v>15</v>
      </c>
      <c r="M29" s="325"/>
      <c r="N29" s="324"/>
      <c r="O29" s="325"/>
    </row>
    <row r="30" spans="1:16" ht="14.4" x14ac:dyDescent="0.3">
      <c r="A30" s="324"/>
      <c r="B30" s="325"/>
      <c r="D30" s="325"/>
      <c r="E30" s="325" t="s">
        <v>16</v>
      </c>
      <c r="F30" s="325" t="s">
        <v>254</v>
      </c>
      <c r="G30" s="325">
        <v>0.01</v>
      </c>
      <c r="H30" s="331">
        <v>0</v>
      </c>
      <c r="I30" s="325"/>
      <c r="J30" s="325" t="s">
        <v>255</v>
      </c>
      <c r="K30" s="134" t="s">
        <v>590</v>
      </c>
      <c r="L30" s="374">
        <v>1700</v>
      </c>
      <c r="M30" s="325"/>
      <c r="N30" s="324"/>
      <c r="O30" s="325"/>
    </row>
    <row r="31" spans="1:16" ht="14.4" x14ac:dyDescent="0.3">
      <c r="A31" s="324"/>
      <c r="B31" s="325"/>
      <c r="D31" s="325"/>
      <c r="E31" s="325" t="s">
        <v>256</v>
      </c>
      <c r="F31" s="325" t="s">
        <v>189</v>
      </c>
      <c r="G31" s="331">
        <v>2000</v>
      </c>
      <c r="H31" s="331">
        <v>0</v>
      </c>
      <c r="I31" s="325"/>
      <c r="J31" s="325" t="s">
        <v>255</v>
      </c>
      <c r="K31" s="134" t="s">
        <v>591</v>
      </c>
      <c r="L31" s="374">
        <v>46.6</v>
      </c>
      <c r="M31" s="325"/>
      <c r="N31" s="324"/>
      <c r="O31" s="325"/>
    </row>
    <row r="32" spans="1:16" ht="14.4" x14ac:dyDescent="0.3">
      <c r="A32" s="324"/>
      <c r="B32" s="325"/>
      <c r="D32" s="325"/>
      <c r="E32" s="325" t="s">
        <v>256</v>
      </c>
      <c r="F32" s="325" t="s">
        <v>7</v>
      </c>
      <c r="G32" s="331">
        <v>200</v>
      </c>
      <c r="H32" s="331">
        <v>0</v>
      </c>
      <c r="I32" s="325"/>
      <c r="J32" s="325" t="s">
        <v>255</v>
      </c>
      <c r="K32" s="134" t="s">
        <v>592</v>
      </c>
      <c r="L32" s="374">
        <v>310</v>
      </c>
      <c r="M32" s="325"/>
      <c r="N32" s="324"/>
      <c r="O32" s="325"/>
    </row>
    <row r="33" spans="1:15" ht="14.4" x14ac:dyDescent="0.3">
      <c r="A33" s="324"/>
      <c r="B33" s="325"/>
      <c r="D33" s="325"/>
      <c r="E33" s="325" t="s">
        <v>256</v>
      </c>
      <c r="F33" s="134" t="s">
        <v>614</v>
      </c>
      <c r="G33" s="325">
        <v>0</v>
      </c>
      <c r="H33" s="331">
        <v>800</v>
      </c>
      <c r="I33" s="325"/>
      <c r="J33" s="325" t="s">
        <v>255</v>
      </c>
      <c r="K33" s="134" t="s">
        <v>593</v>
      </c>
      <c r="L33" s="374">
        <v>700</v>
      </c>
      <c r="M33" s="325"/>
      <c r="N33" s="324"/>
      <c r="O33" s="325"/>
    </row>
    <row r="34" spans="1:15" ht="14.4" x14ac:dyDescent="0.3">
      <c r="A34" s="324"/>
      <c r="B34" s="325"/>
      <c r="D34" s="325"/>
      <c r="E34" s="325" t="s">
        <v>256</v>
      </c>
      <c r="F34" s="134" t="s">
        <v>606</v>
      </c>
      <c r="G34" s="325">
        <v>0</v>
      </c>
      <c r="H34" s="331">
        <v>80</v>
      </c>
      <c r="I34" s="325"/>
      <c r="J34" s="325" t="s">
        <v>255</v>
      </c>
      <c r="K34" s="134" t="s">
        <v>595</v>
      </c>
      <c r="L34" s="374">
        <v>81</v>
      </c>
      <c r="M34" s="325"/>
      <c r="N34" s="324"/>
      <c r="O34" s="325"/>
    </row>
    <row r="35" spans="1:15" ht="14.4" x14ac:dyDescent="0.3">
      <c r="A35" s="324"/>
      <c r="B35" s="325"/>
      <c r="D35" s="325"/>
      <c r="E35" s="325" t="s">
        <v>256</v>
      </c>
      <c r="F35" s="134" t="s">
        <v>112</v>
      </c>
      <c r="G35" s="325">
        <v>0</v>
      </c>
      <c r="H35" s="331">
        <v>34</v>
      </c>
      <c r="I35" s="325"/>
      <c r="J35" s="325" t="s">
        <v>255</v>
      </c>
      <c r="K35" s="134" t="s">
        <v>596</v>
      </c>
      <c r="L35" s="374">
        <v>450</v>
      </c>
      <c r="M35" s="325"/>
      <c r="N35" s="324"/>
      <c r="O35" s="325"/>
    </row>
    <row r="36" spans="1:15" ht="14.4" x14ac:dyDescent="0.3">
      <c r="A36" s="324"/>
      <c r="B36" s="325"/>
      <c r="D36" s="325"/>
      <c r="E36" s="325" t="s">
        <v>256</v>
      </c>
      <c r="F36" s="134" t="s">
        <v>618</v>
      </c>
      <c r="G36" s="325">
        <v>0</v>
      </c>
      <c r="H36" s="331">
        <v>85</v>
      </c>
      <c r="I36" s="325"/>
      <c r="J36" s="325" t="s">
        <v>255</v>
      </c>
      <c r="K36" s="134" t="s">
        <v>598</v>
      </c>
      <c r="L36" s="374">
        <v>125</v>
      </c>
      <c r="M36" s="325"/>
      <c r="N36" s="324"/>
      <c r="O36" s="325"/>
    </row>
    <row r="37" spans="1:15" ht="14.4" x14ac:dyDescent="0.3">
      <c r="A37" s="324"/>
      <c r="B37" s="325"/>
      <c r="D37" s="325"/>
      <c r="E37" s="325" t="s">
        <v>256</v>
      </c>
      <c r="F37" s="134" t="s">
        <v>610</v>
      </c>
      <c r="G37" s="325">
        <v>0</v>
      </c>
      <c r="H37" s="325">
        <v>350</v>
      </c>
      <c r="I37" s="325"/>
      <c r="J37" s="325" t="s">
        <v>255</v>
      </c>
      <c r="K37" s="134" t="s">
        <v>600</v>
      </c>
      <c r="L37" s="374">
        <v>310</v>
      </c>
      <c r="M37" s="325"/>
      <c r="N37" s="324"/>
      <c r="O37" s="325"/>
    </row>
    <row r="38" spans="1:15" ht="14.4" x14ac:dyDescent="0.3">
      <c r="A38" s="324"/>
      <c r="B38" s="325"/>
      <c r="D38" s="325"/>
      <c r="E38" s="325" t="s">
        <v>256</v>
      </c>
      <c r="F38" s="134" t="s">
        <v>612</v>
      </c>
      <c r="G38" s="325">
        <v>0</v>
      </c>
      <c r="H38" s="325">
        <v>50</v>
      </c>
      <c r="I38" s="325"/>
      <c r="J38" s="325" t="s">
        <v>255</v>
      </c>
      <c r="K38" s="134" t="s">
        <v>601</v>
      </c>
      <c r="L38" s="374">
        <v>150</v>
      </c>
      <c r="M38" s="325"/>
      <c r="N38" s="324"/>
      <c r="O38" s="325"/>
    </row>
    <row r="39" spans="1:15" ht="14.4" x14ac:dyDescent="0.3">
      <c r="A39" s="324"/>
      <c r="B39" s="325"/>
      <c r="D39" s="325"/>
      <c r="E39" s="325" t="s">
        <v>256</v>
      </c>
      <c r="F39" s="134" t="s">
        <v>629</v>
      </c>
      <c r="G39" s="325">
        <v>0</v>
      </c>
      <c r="H39" s="325">
        <v>1200</v>
      </c>
      <c r="I39" s="325"/>
      <c r="J39" s="325" t="s">
        <v>255</v>
      </c>
      <c r="K39" s="134" t="s">
        <v>622</v>
      </c>
      <c r="L39" s="374">
        <v>66</v>
      </c>
      <c r="M39" s="325"/>
      <c r="N39" s="324"/>
      <c r="O39" s="325"/>
    </row>
    <row r="40" spans="1:15" ht="14.4" x14ac:dyDescent="0.3">
      <c r="A40" s="324"/>
      <c r="B40" s="325"/>
      <c r="D40" s="325"/>
      <c r="E40" s="325" t="s">
        <v>256</v>
      </c>
      <c r="F40" s="134" t="s">
        <v>607</v>
      </c>
      <c r="G40" s="325">
        <v>0</v>
      </c>
      <c r="H40" s="325">
        <v>175</v>
      </c>
      <c r="I40" s="325"/>
      <c r="J40" s="325" t="s">
        <v>255</v>
      </c>
      <c r="K40" s="134" t="s">
        <v>603</v>
      </c>
      <c r="L40" s="374">
        <v>350</v>
      </c>
      <c r="M40" s="325"/>
      <c r="N40" s="324"/>
      <c r="O40" s="325"/>
    </row>
    <row r="41" spans="1:15" ht="14.4" x14ac:dyDescent="0.3">
      <c r="A41" s="324"/>
      <c r="B41" s="325"/>
      <c r="D41" s="325"/>
      <c r="E41" s="325" t="s">
        <v>256</v>
      </c>
      <c r="F41" s="134" t="s">
        <v>609</v>
      </c>
      <c r="G41" s="325">
        <v>0</v>
      </c>
      <c r="H41" s="325">
        <v>60</v>
      </c>
      <c r="I41" s="325"/>
      <c r="J41" s="325" t="s">
        <v>255</v>
      </c>
      <c r="K41" s="134" t="s">
        <v>604</v>
      </c>
      <c r="L41" s="374">
        <v>15</v>
      </c>
      <c r="M41" s="325"/>
      <c r="N41" s="324"/>
      <c r="O41" s="325"/>
    </row>
    <row r="42" spans="1:15" ht="14.4" x14ac:dyDescent="0.3">
      <c r="A42" s="324"/>
      <c r="B42" s="325"/>
      <c r="D42" s="325"/>
      <c r="E42" s="325" t="s">
        <v>256</v>
      </c>
      <c r="F42" s="325" t="s">
        <v>254</v>
      </c>
      <c r="G42" s="325">
        <v>0.01</v>
      </c>
      <c r="H42" s="331">
        <v>0</v>
      </c>
      <c r="I42" s="325"/>
      <c r="J42" s="375" t="s">
        <v>588</v>
      </c>
      <c r="K42" s="134" t="s">
        <v>590</v>
      </c>
      <c r="L42" s="374">
        <v>1700</v>
      </c>
      <c r="M42" s="325"/>
      <c r="N42" s="324"/>
      <c r="O42" s="325"/>
    </row>
    <row r="43" spans="1:15" ht="14.4" x14ac:dyDescent="0.3">
      <c r="A43" s="324"/>
      <c r="B43" s="325"/>
      <c r="D43" s="325"/>
      <c r="E43" s="325" t="s">
        <v>255</v>
      </c>
      <c r="F43" s="325" t="s">
        <v>189</v>
      </c>
      <c r="G43" s="373">
        <v>800</v>
      </c>
      <c r="H43" s="331">
        <v>0</v>
      </c>
      <c r="I43" s="325"/>
      <c r="J43" s="375" t="s">
        <v>588</v>
      </c>
      <c r="K43" s="134" t="s">
        <v>591</v>
      </c>
      <c r="L43" s="374">
        <v>46.6</v>
      </c>
      <c r="M43" s="325"/>
      <c r="N43" s="324"/>
      <c r="O43" s="325"/>
    </row>
    <row r="44" spans="1:15" ht="14.4" x14ac:dyDescent="0.3">
      <c r="A44" s="324"/>
      <c r="B44" s="325"/>
      <c r="D44" s="325"/>
      <c r="E44" s="325" t="s">
        <v>255</v>
      </c>
      <c r="F44" s="325" t="s">
        <v>7</v>
      </c>
      <c r="G44" s="331">
        <v>200</v>
      </c>
      <c r="H44" s="331">
        <v>0</v>
      </c>
      <c r="I44" s="325"/>
      <c r="J44" s="375" t="s">
        <v>588</v>
      </c>
      <c r="K44" s="134" t="s">
        <v>592</v>
      </c>
      <c r="L44" s="374">
        <v>310</v>
      </c>
      <c r="M44" s="325"/>
      <c r="N44" s="324"/>
      <c r="O44" s="325"/>
    </row>
    <row r="45" spans="1:15" ht="14.4" x14ac:dyDescent="0.3">
      <c r="A45" s="324"/>
      <c r="B45" s="325"/>
      <c r="D45" s="325"/>
      <c r="E45" s="325" t="s">
        <v>255</v>
      </c>
      <c r="F45" s="134" t="s">
        <v>614</v>
      </c>
      <c r="G45" s="325">
        <v>0.01</v>
      </c>
      <c r="H45" s="331">
        <v>800</v>
      </c>
      <c r="I45" s="325"/>
      <c r="J45" s="375" t="s">
        <v>588</v>
      </c>
      <c r="K45" s="134" t="s">
        <v>593</v>
      </c>
      <c r="L45" s="374">
        <v>700</v>
      </c>
      <c r="M45" s="325"/>
      <c r="N45" s="324"/>
      <c r="O45" s="325"/>
    </row>
    <row r="46" spans="1:15" ht="14.4" x14ac:dyDescent="0.3">
      <c r="A46" s="324"/>
      <c r="B46" s="325"/>
      <c r="D46" s="325"/>
      <c r="E46" s="325" t="s">
        <v>255</v>
      </c>
      <c r="F46" s="134" t="s">
        <v>606</v>
      </c>
      <c r="G46" s="325">
        <v>0</v>
      </c>
      <c r="H46" s="331">
        <v>80</v>
      </c>
      <c r="I46" s="325"/>
      <c r="J46" s="375" t="s">
        <v>588</v>
      </c>
      <c r="K46" s="134" t="s">
        <v>595</v>
      </c>
      <c r="L46" s="374">
        <v>81</v>
      </c>
      <c r="M46" s="325"/>
      <c r="N46" s="324"/>
      <c r="O46" s="325"/>
    </row>
    <row r="47" spans="1:15" ht="14.4" x14ac:dyDescent="0.3">
      <c r="A47" s="324"/>
      <c r="B47" s="325"/>
      <c r="D47" s="325"/>
      <c r="E47" s="325" t="s">
        <v>255</v>
      </c>
      <c r="F47" s="134" t="s">
        <v>617</v>
      </c>
      <c r="G47" s="325">
        <v>0</v>
      </c>
      <c r="H47" s="331">
        <v>450</v>
      </c>
      <c r="I47" s="325"/>
      <c r="J47" s="375" t="s">
        <v>588</v>
      </c>
      <c r="K47" s="134" t="s">
        <v>596</v>
      </c>
      <c r="L47" s="374">
        <v>450</v>
      </c>
      <c r="M47" s="325"/>
      <c r="N47" s="324"/>
      <c r="O47" s="325"/>
    </row>
    <row r="48" spans="1:15" ht="14.4" x14ac:dyDescent="0.3">
      <c r="A48" s="324"/>
      <c r="B48" s="325"/>
      <c r="D48" s="325"/>
      <c r="E48" s="325" t="s">
        <v>255</v>
      </c>
      <c r="F48" s="134" t="s">
        <v>112</v>
      </c>
      <c r="G48" s="325">
        <v>0</v>
      </c>
      <c r="H48" s="331">
        <v>34</v>
      </c>
      <c r="I48" s="325"/>
      <c r="J48" s="375" t="s">
        <v>588</v>
      </c>
      <c r="K48" s="134" t="s">
        <v>598</v>
      </c>
      <c r="L48" s="374">
        <v>125</v>
      </c>
      <c r="M48" s="325"/>
      <c r="N48" s="324"/>
      <c r="O48" s="325"/>
    </row>
    <row r="49" spans="1:15" ht="14.4" x14ac:dyDescent="0.3">
      <c r="A49" s="324"/>
      <c r="B49" s="325"/>
      <c r="D49" s="325"/>
      <c r="E49" s="325" t="s">
        <v>255</v>
      </c>
      <c r="F49" s="134" t="s">
        <v>613</v>
      </c>
      <c r="G49" s="325">
        <v>0</v>
      </c>
      <c r="H49" s="331">
        <v>60</v>
      </c>
      <c r="I49" s="325"/>
      <c r="J49" s="375" t="s">
        <v>588</v>
      </c>
      <c r="K49" s="134" t="s">
        <v>600</v>
      </c>
      <c r="L49" s="374">
        <v>310</v>
      </c>
      <c r="M49" s="325"/>
      <c r="N49" s="324"/>
      <c r="O49" s="325"/>
    </row>
    <row r="50" spans="1:15" ht="14.4" x14ac:dyDescent="0.3">
      <c r="A50" s="324"/>
      <c r="B50" s="325"/>
      <c r="D50" s="325"/>
      <c r="E50" s="325" t="s">
        <v>255</v>
      </c>
      <c r="F50" s="134" t="s">
        <v>618</v>
      </c>
      <c r="G50" s="325">
        <v>0</v>
      </c>
      <c r="H50" s="331">
        <v>85</v>
      </c>
      <c r="I50" s="325"/>
      <c r="J50" s="375" t="s">
        <v>588</v>
      </c>
      <c r="K50" s="134" t="s">
        <v>601</v>
      </c>
      <c r="L50" s="374">
        <v>150</v>
      </c>
      <c r="M50" s="325"/>
      <c r="N50" s="324"/>
      <c r="O50" s="325"/>
    </row>
    <row r="51" spans="1:15" ht="14.4" x14ac:dyDescent="0.3">
      <c r="A51" s="324"/>
      <c r="B51" s="325"/>
      <c r="D51" s="325"/>
      <c r="E51" s="325" t="s">
        <v>255</v>
      </c>
      <c r="F51" s="134" t="s">
        <v>628</v>
      </c>
      <c r="G51" s="325">
        <v>0</v>
      </c>
      <c r="H51" s="375">
        <v>300</v>
      </c>
      <c r="I51" s="325"/>
      <c r="J51" s="375" t="s">
        <v>588</v>
      </c>
      <c r="K51" s="134" t="s">
        <v>622</v>
      </c>
      <c r="L51" s="374">
        <v>66</v>
      </c>
      <c r="M51" s="325"/>
      <c r="N51" s="324"/>
      <c r="O51" s="325"/>
    </row>
    <row r="52" spans="1:15" ht="14.4" x14ac:dyDescent="0.3">
      <c r="A52" s="324"/>
      <c r="B52" s="325"/>
      <c r="D52" s="325"/>
      <c r="E52" s="325" t="s">
        <v>255</v>
      </c>
      <c r="F52" s="134" t="s">
        <v>612</v>
      </c>
      <c r="G52" s="325">
        <v>0</v>
      </c>
      <c r="H52" s="325">
        <v>50</v>
      </c>
      <c r="I52" s="325"/>
      <c r="J52" s="375" t="s">
        <v>588</v>
      </c>
      <c r="K52" s="134" t="s">
        <v>603</v>
      </c>
      <c r="L52" s="374">
        <v>350</v>
      </c>
      <c r="M52" s="325"/>
      <c r="N52" s="324"/>
      <c r="O52" s="325"/>
    </row>
    <row r="53" spans="1:15" ht="14.4" x14ac:dyDescent="0.3">
      <c r="A53" s="324"/>
      <c r="B53" s="325"/>
      <c r="D53" s="325"/>
      <c r="E53" s="325" t="s">
        <v>255</v>
      </c>
      <c r="F53" s="134" t="s">
        <v>629</v>
      </c>
      <c r="G53" s="325">
        <v>0</v>
      </c>
      <c r="H53" s="325">
        <v>1200</v>
      </c>
      <c r="I53" s="325"/>
      <c r="J53" s="375" t="s">
        <v>588</v>
      </c>
      <c r="K53" s="134" t="s">
        <v>604</v>
      </c>
      <c r="L53" s="374">
        <v>15</v>
      </c>
      <c r="M53" s="325"/>
      <c r="N53" s="324"/>
      <c r="O53" s="325"/>
    </row>
    <row r="54" spans="1:15" ht="14.4" x14ac:dyDescent="0.3">
      <c r="A54" s="324"/>
      <c r="B54" s="325"/>
      <c r="D54" s="325"/>
      <c r="E54" s="325" t="s">
        <v>255</v>
      </c>
      <c r="F54" s="134" t="s">
        <v>615</v>
      </c>
      <c r="G54" s="325">
        <v>0</v>
      </c>
      <c r="H54" s="331">
        <v>350</v>
      </c>
      <c r="I54" s="325"/>
      <c r="J54" s="324"/>
      <c r="K54" s="325"/>
      <c r="M54" s="325"/>
      <c r="N54" s="324"/>
      <c r="O54" s="325"/>
    </row>
    <row r="55" spans="1:15" ht="14.4" x14ac:dyDescent="0.3">
      <c r="A55" s="324"/>
      <c r="B55" s="325"/>
      <c r="D55" s="325"/>
      <c r="E55" s="325" t="s">
        <v>255</v>
      </c>
      <c r="F55" s="134" t="s">
        <v>620</v>
      </c>
      <c r="G55" s="325">
        <v>0</v>
      </c>
      <c r="H55" s="331">
        <v>60</v>
      </c>
      <c r="I55" s="325"/>
      <c r="J55" s="324"/>
      <c r="K55" s="325"/>
      <c r="M55" s="325"/>
      <c r="N55" s="324"/>
      <c r="O55" s="325"/>
    </row>
    <row r="56" spans="1:15" ht="14.4" x14ac:dyDescent="0.3">
      <c r="A56" s="324"/>
      <c r="B56" s="325"/>
      <c r="D56" s="325"/>
      <c r="E56" s="325" t="s">
        <v>255</v>
      </c>
      <c r="F56" s="134" t="s">
        <v>621</v>
      </c>
      <c r="G56" s="325">
        <v>0</v>
      </c>
      <c r="H56" s="331">
        <v>50</v>
      </c>
      <c r="I56" s="325"/>
      <c r="J56" s="324"/>
      <c r="K56" s="325"/>
      <c r="M56" s="325"/>
      <c r="N56" s="324"/>
      <c r="O56" s="325"/>
    </row>
    <row r="57" spans="1:15" ht="14.4" x14ac:dyDescent="0.3">
      <c r="A57" s="324"/>
      <c r="B57" s="325"/>
      <c r="D57" s="325"/>
      <c r="E57" s="325" t="s">
        <v>255</v>
      </c>
      <c r="F57" s="134" t="s">
        <v>607</v>
      </c>
      <c r="G57" s="325">
        <v>0</v>
      </c>
      <c r="H57" s="331">
        <v>175</v>
      </c>
      <c r="I57" s="325"/>
      <c r="J57" s="324"/>
      <c r="K57" s="325"/>
      <c r="M57" s="325"/>
      <c r="N57" s="324"/>
      <c r="O57" s="325"/>
    </row>
    <row r="58" spans="1:15" ht="14.4" x14ac:dyDescent="0.3">
      <c r="A58" s="324"/>
      <c r="B58" s="325"/>
      <c r="D58" s="325"/>
      <c r="E58" s="325" t="s">
        <v>255</v>
      </c>
      <c r="F58" s="134" t="s">
        <v>609</v>
      </c>
      <c r="G58" s="325">
        <v>0</v>
      </c>
      <c r="H58" s="331">
        <v>60</v>
      </c>
      <c r="I58" s="325"/>
      <c r="J58" s="324"/>
      <c r="K58" s="325"/>
      <c r="M58" s="325"/>
      <c r="N58" s="324"/>
      <c r="O58" s="325"/>
    </row>
    <row r="59" spans="1:15" x14ac:dyDescent="0.3">
      <c r="A59" s="324"/>
      <c r="B59" s="325"/>
      <c r="D59" s="325"/>
      <c r="E59" s="325" t="s">
        <v>255</v>
      </c>
      <c r="F59" s="325" t="s">
        <v>254</v>
      </c>
      <c r="G59" s="325">
        <v>0.01</v>
      </c>
      <c r="H59" s="331">
        <v>0</v>
      </c>
      <c r="I59" s="325"/>
      <c r="J59" s="324"/>
      <c r="K59" s="325"/>
      <c r="M59" s="325"/>
      <c r="N59" s="324"/>
      <c r="O59" s="325"/>
    </row>
    <row r="60" spans="1:15" x14ac:dyDescent="0.3">
      <c r="A60" s="324"/>
      <c r="B60" s="325"/>
      <c r="D60" s="325"/>
      <c r="E60" s="325" t="s">
        <v>588</v>
      </c>
      <c r="F60" s="325" t="s">
        <v>189</v>
      </c>
      <c r="G60" s="331">
        <v>800</v>
      </c>
      <c r="H60" s="331">
        <v>0</v>
      </c>
      <c r="I60" s="325"/>
      <c r="J60" s="324"/>
      <c r="K60" s="325"/>
      <c r="M60" s="325"/>
      <c r="N60" s="324"/>
      <c r="O60" s="325"/>
    </row>
    <row r="61" spans="1:15" x14ac:dyDescent="0.3">
      <c r="A61" s="324"/>
      <c r="B61" s="325"/>
      <c r="D61" s="325"/>
      <c r="E61" s="325" t="s">
        <v>588</v>
      </c>
      <c r="F61" s="325" t="s">
        <v>7</v>
      </c>
      <c r="G61" s="331">
        <v>200</v>
      </c>
      <c r="H61" s="331">
        <v>0</v>
      </c>
      <c r="I61" s="325"/>
      <c r="J61" s="324"/>
      <c r="K61" s="325"/>
      <c r="M61" s="325"/>
      <c r="N61" s="324"/>
      <c r="O61" s="325"/>
    </row>
    <row r="62" spans="1:15" ht="14.4" x14ac:dyDescent="0.3">
      <c r="A62" s="324"/>
      <c r="B62" s="325"/>
      <c r="D62" s="325"/>
      <c r="E62" s="375" t="s">
        <v>588</v>
      </c>
      <c r="F62" s="134" t="s">
        <v>614</v>
      </c>
      <c r="G62" s="325">
        <v>0.01</v>
      </c>
      <c r="H62" s="331">
        <v>800</v>
      </c>
      <c r="I62" s="325"/>
      <c r="J62" s="324"/>
      <c r="K62" s="325"/>
      <c r="M62" s="325"/>
      <c r="N62" s="324"/>
      <c r="O62" s="325"/>
    </row>
    <row r="63" spans="1:15" ht="14.4" x14ac:dyDescent="0.3">
      <c r="A63" s="324"/>
      <c r="B63" s="325"/>
      <c r="D63" s="325"/>
      <c r="E63" s="375" t="s">
        <v>588</v>
      </c>
      <c r="F63" s="134" t="s">
        <v>606</v>
      </c>
      <c r="G63" s="325">
        <v>0</v>
      </c>
      <c r="H63" s="331">
        <v>80</v>
      </c>
      <c r="I63" s="325"/>
      <c r="J63" s="324"/>
      <c r="K63" s="325"/>
      <c r="M63" s="325"/>
      <c r="N63" s="324"/>
      <c r="O63" s="325"/>
    </row>
    <row r="64" spans="1:15" ht="14.4" x14ac:dyDescent="0.3">
      <c r="A64" s="324"/>
      <c r="B64" s="325"/>
      <c r="D64" s="325"/>
      <c r="E64" s="375" t="s">
        <v>588</v>
      </c>
      <c r="F64" s="134" t="s">
        <v>617</v>
      </c>
      <c r="G64" s="325">
        <v>0</v>
      </c>
      <c r="H64" s="331">
        <v>450</v>
      </c>
      <c r="I64" s="325"/>
      <c r="J64" s="324"/>
      <c r="K64" s="325"/>
      <c r="M64" s="325"/>
      <c r="N64" s="324"/>
      <c r="O64" s="325"/>
    </row>
    <row r="65" spans="1:15" ht="14.4" x14ac:dyDescent="0.3">
      <c r="A65" s="324"/>
      <c r="B65" s="325"/>
      <c r="D65" s="325"/>
      <c r="E65" s="375" t="s">
        <v>588</v>
      </c>
      <c r="F65" s="134" t="s">
        <v>112</v>
      </c>
      <c r="G65" s="325">
        <v>0</v>
      </c>
      <c r="H65" s="331">
        <v>34</v>
      </c>
      <c r="I65" s="325"/>
      <c r="J65" s="324"/>
      <c r="K65" s="325"/>
      <c r="M65" s="325"/>
      <c r="N65" s="324"/>
      <c r="O65" s="325"/>
    </row>
    <row r="66" spans="1:15" ht="14.4" x14ac:dyDescent="0.3">
      <c r="A66" s="324"/>
      <c r="B66" s="325"/>
      <c r="D66" s="325"/>
      <c r="E66" s="375" t="s">
        <v>588</v>
      </c>
      <c r="F66" s="134" t="s">
        <v>613</v>
      </c>
      <c r="G66" s="325">
        <v>0</v>
      </c>
      <c r="H66" s="331">
        <v>60</v>
      </c>
      <c r="I66" s="325"/>
      <c r="J66" s="324"/>
      <c r="K66" s="325"/>
      <c r="M66" s="325"/>
      <c r="N66" s="324"/>
      <c r="O66" s="325"/>
    </row>
    <row r="67" spans="1:15" ht="14.4" x14ac:dyDescent="0.3">
      <c r="A67" s="324"/>
      <c r="B67" s="325"/>
      <c r="D67" s="325"/>
      <c r="E67" s="375" t="s">
        <v>588</v>
      </c>
      <c r="F67" s="134" t="s">
        <v>618</v>
      </c>
      <c r="G67" s="325">
        <v>0</v>
      </c>
      <c r="H67" s="331">
        <v>85</v>
      </c>
      <c r="I67" s="325"/>
      <c r="J67" s="324"/>
      <c r="K67" s="325"/>
      <c r="M67" s="325"/>
      <c r="N67" s="324"/>
      <c r="O67" s="325"/>
    </row>
    <row r="68" spans="1:15" ht="14.4" x14ac:dyDescent="0.3">
      <c r="A68" s="324"/>
      <c r="B68" s="325"/>
      <c r="D68" s="325"/>
      <c r="E68" s="375" t="s">
        <v>588</v>
      </c>
      <c r="F68" s="134" t="s">
        <v>628</v>
      </c>
      <c r="G68" s="325">
        <v>0</v>
      </c>
      <c r="H68" s="375">
        <v>300</v>
      </c>
      <c r="I68" s="325"/>
      <c r="J68" s="324"/>
      <c r="K68" s="325"/>
      <c r="M68" s="325"/>
      <c r="N68" s="324"/>
      <c r="O68" s="325"/>
    </row>
    <row r="69" spans="1:15" ht="14.4" x14ac:dyDescent="0.3">
      <c r="A69" s="324"/>
      <c r="B69" s="325"/>
      <c r="D69" s="325"/>
      <c r="E69" s="375" t="s">
        <v>588</v>
      </c>
      <c r="F69" s="134" t="s">
        <v>612</v>
      </c>
      <c r="G69" s="325">
        <v>0</v>
      </c>
      <c r="H69" s="325">
        <v>50</v>
      </c>
      <c r="I69" s="325"/>
      <c r="J69" s="324"/>
      <c r="K69" s="325"/>
      <c r="M69" s="325"/>
      <c r="N69" s="324"/>
      <c r="O69" s="325"/>
    </row>
    <row r="70" spans="1:15" ht="14.4" x14ac:dyDescent="0.3">
      <c r="A70" s="324"/>
      <c r="B70" s="325"/>
      <c r="D70" s="325"/>
      <c r="E70" s="375" t="s">
        <v>588</v>
      </c>
      <c r="F70" s="134" t="s">
        <v>629</v>
      </c>
      <c r="G70" s="325">
        <v>0</v>
      </c>
      <c r="H70" s="325">
        <v>1200</v>
      </c>
      <c r="I70" s="325"/>
      <c r="J70" s="324"/>
      <c r="K70" s="325"/>
      <c r="M70" s="325"/>
      <c r="N70" s="324"/>
      <c r="O70" s="325"/>
    </row>
    <row r="71" spans="1:15" ht="14.4" x14ac:dyDescent="0.3">
      <c r="A71" s="324"/>
      <c r="B71" s="325"/>
      <c r="D71" s="325"/>
      <c r="E71" s="375" t="s">
        <v>588</v>
      </c>
      <c r="F71" s="134" t="s">
        <v>615</v>
      </c>
      <c r="G71" s="325">
        <v>0</v>
      </c>
      <c r="H71" s="331">
        <v>350</v>
      </c>
      <c r="I71" s="325"/>
      <c r="J71" s="324"/>
      <c r="K71" s="325"/>
      <c r="M71" s="325"/>
      <c r="N71" s="324"/>
      <c r="O71" s="325"/>
    </row>
    <row r="72" spans="1:15" ht="14.4" x14ac:dyDescent="0.3">
      <c r="A72" s="324"/>
      <c r="B72" s="325"/>
      <c r="D72" s="325"/>
      <c r="E72" s="375" t="s">
        <v>588</v>
      </c>
      <c r="F72" s="134" t="s">
        <v>620</v>
      </c>
      <c r="G72" s="325">
        <v>0.01</v>
      </c>
      <c r="H72" s="331">
        <v>60</v>
      </c>
      <c r="I72" s="325"/>
      <c r="J72" s="324"/>
      <c r="K72" s="325"/>
      <c r="M72" s="325"/>
      <c r="N72" s="324"/>
      <c r="O72" s="325"/>
    </row>
    <row r="73" spans="1:15" ht="14.4" x14ac:dyDescent="0.3">
      <c r="A73" s="324"/>
      <c r="B73" s="325"/>
      <c r="D73" s="325"/>
      <c r="E73" s="375" t="s">
        <v>588</v>
      </c>
      <c r="F73" s="134" t="s">
        <v>621</v>
      </c>
      <c r="G73" s="325">
        <v>0.01</v>
      </c>
      <c r="H73" s="331">
        <v>50</v>
      </c>
      <c r="I73" s="325"/>
      <c r="J73" s="324"/>
      <c r="K73" s="325"/>
      <c r="M73" s="325"/>
      <c r="N73" s="324"/>
      <c r="O73" s="325"/>
    </row>
    <row r="74" spans="1:15" ht="14.4" x14ac:dyDescent="0.3">
      <c r="A74" s="324"/>
      <c r="B74" s="325"/>
      <c r="D74" s="325"/>
      <c r="E74" s="375" t="s">
        <v>588</v>
      </c>
      <c r="F74" s="134" t="s">
        <v>607</v>
      </c>
      <c r="G74" s="325">
        <v>0.01</v>
      </c>
      <c r="H74" s="331">
        <v>175</v>
      </c>
      <c r="I74" s="325"/>
      <c r="J74" s="324"/>
      <c r="K74" s="325"/>
      <c r="M74" s="325"/>
      <c r="N74" s="324"/>
      <c r="O74" s="325"/>
    </row>
    <row r="75" spans="1:15" ht="14.4" x14ac:dyDescent="0.3">
      <c r="A75" s="324"/>
      <c r="B75" s="325"/>
      <c r="D75" s="325"/>
      <c r="E75" s="375" t="s">
        <v>588</v>
      </c>
      <c r="F75" s="134" t="s">
        <v>609</v>
      </c>
      <c r="G75" s="325">
        <v>0.01</v>
      </c>
      <c r="H75" s="331">
        <v>60</v>
      </c>
      <c r="I75" s="325"/>
      <c r="J75" s="324"/>
      <c r="K75" s="325"/>
      <c r="M75" s="325"/>
      <c r="N75" s="324"/>
      <c r="O75" s="325"/>
    </row>
    <row r="76" spans="1:15" x14ac:dyDescent="0.3">
      <c r="A76" s="324"/>
      <c r="B76" s="325"/>
      <c r="D76" s="325"/>
      <c r="E76" s="325" t="s">
        <v>588</v>
      </c>
      <c r="F76" s="325" t="s">
        <v>254</v>
      </c>
      <c r="G76" s="325">
        <v>0.01</v>
      </c>
      <c r="H76" s="331">
        <v>0</v>
      </c>
      <c r="I76" s="325"/>
      <c r="J76" s="324"/>
      <c r="K76" s="325"/>
      <c r="M76" s="325"/>
      <c r="N76" s="324"/>
      <c r="O76" s="325"/>
    </row>
    <row r="77" spans="1:15" x14ac:dyDescent="0.3">
      <c r="A77" s="324"/>
      <c r="B77" s="325"/>
      <c r="D77" s="325"/>
      <c r="E77" s="324"/>
      <c r="F77" s="325"/>
      <c r="G77" s="325"/>
      <c r="I77" s="325"/>
      <c r="J77" s="324"/>
      <c r="K77" s="325"/>
      <c r="M77" s="325"/>
      <c r="N77" s="324"/>
      <c r="O77" s="325"/>
    </row>
  </sheetData>
  <mergeCells count="4">
    <mergeCell ref="A1:C1"/>
    <mergeCell ref="E1:H1"/>
    <mergeCell ref="J1:L1"/>
    <mergeCell ref="N1:P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8B1B8-11CB-43CA-98AA-D0554FA6A3CA}">
  <dimension ref="A1:S24"/>
  <sheetViews>
    <sheetView workbookViewId="0">
      <selection activeCell="B16" sqref="B16:B20"/>
    </sheetView>
  </sheetViews>
  <sheetFormatPr baseColWidth="10" defaultColWidth="11.5546875" defaultRowHeight="13.8" x14ac:dyDescent="0.25"/>
  <cols>
    <col min="1" max="1" width="14.6640625" style="12" customWidth="1"/>
    <col min="2" max="2" width="16.6640625" style="137" customWidth="1"/>
    <col min="3" max="3" width="11.5546875" style="12"/>
    <col min="4" max="4" width="11.5546875" style="137"/>
    <col min="5" max="5" width="14.44140625" style="137" customWidth="1"/>
    <col min="6" max="6" width="11.5546875" style="137"/>
    <col min="7" max="7" width="18.6640625" style="138" customWidth="1"/>
    <col min="8" max="8" width="11.5546875" style="136"/>
    <col min="9" max="9" width="14.5546875" style="136" customWidth="1"/>
    <col min="10" max="10" width="19" style="136" customWidth="1"/>
    <col min="11" max="11" width="19" style="12" customWidth="1"/>
    <col min="12" max="12" width="11.5546875" style="137"/>
    <col min="13" max="13" width="18.33203125" style="136" customWidth="1"/>
    <col min="14" max="14" width="15.88671875" style="136" customWidth="1"/>
    <col min="15" max="16" width="17.6640625" style="136" customWidth="1"/>
    <col min="17" max="17" width="13.44140625" style="136" customWidth="1"/>
    <col min="18" max="18" width="31.33203125" style="136" customWidth="1"/>
    <col min="19" max="19" width="22" style="136" customWidth="1"/>
    <col min="20" max="16384" width="11.5546875" style="135"/>
  </cols>
  <sheetData>
    <row r="1" spans="1:19" s="323" customFormat="1" ht="72.599999999999994" customHeight="1" x14ac:dyDescent="0.3">
      <c r="A1" s="411" t="s">
        <v>317</v>
      </c>
      <c r="B1" s="412"/>
      <c r="C1" s="411" t="s">
        <v>316</v>
      </c>
      <c r="D1" s="412"/>
      <c r="E1" s="321" t="s">
        <v>627</v>
      </c>
      <c r="F1" s="166"/>
      <c r="G1" s="165" t="s">
        <v>315</v>
      </c>
      <c r="H1" s="164" t="s">
        <v>314</v>
      </c>
      <c r="I1" s="164" t="s">
        <v>313</v>
      </c>
      <c r="J1" s="164" t="s">
        <v>312</v>
      </c>
      <c r="K1" s="413" t="s">
        <v>311</v>
      </c>
      <c r="L1" s="414"/>
      <c r="M1" s="164" t="s">
        <v>310</v>
      </c>
      <c r="N1" s="164" t="s">
        <v>309</v>
      </c>
      <c r="O1" s="164" t="s">
        <v>308</v>
      </c>
      <c r="P1" s="164" t="s">
        <v>307</v>
      </c>
      <c r="Q1" s="164" t="s">
        <v>306</v>
      </c>
      <c r="R1" s="164" t="s">
        <v>305</v>
      </c>
      <c r="S1" s="164" t="s">
        <v>304</v>
      </c>
    </row>
    <row r="2" spans="1:19" s="325" customFormat="1" ht="64.2" customHeight="1" thickBot="1" x14ac:dyDescent="0.35">
      <c r="A2" s="112" t="s">
        <v>88</v>
      </c>
      <c r="B2" s="111" t="s">
        <v>89</v>
      </c>
      <c r="C2" s="163" t="s">
        <v>90</v>
      </c>
      <c r="D2" s="162" t="s">
        <v>91</v>
      </c>
      <c r="E2" s="161" t="s">
        <v>92</v>
      </c>
      <c r="F2" s="115"/>
      <c r="G2" s="159"/>
      <c r="H2" s="160" t="s">
        <v>303</v>
      </c>
      <c r="I2" s="159" t="s">
        <v>302</v>
      </c>
      <c r="J2" s="158" t="s">
        <v>301</v>
      </c>
      <c r="K2" s="415" t="s">
        <v>300</v>
      </c>
      <c r="L2" s="416"/>
      <c r="M2" s="158" t="s">
        <v>299</v>
      </c>
      <c r="N2" s="158" t="s">
        <v>298</v>
      </c>
      <c r="O2" s="158" t="s">
        <v>297</v>
      </c>
      <c r="P2" s="158" t="s">
        <v>296</v>
      </c>
      <c r="Q2" s="158" t="s">
        <v>295</v>
      </c>
      <c r="R2" s="158" t="s">
        <v>294</v>
      </c>
      <c r="S2" s="158" t="s">
        <v>293</v>
      </c>
    </row>
    <row r="3" spans="1:19" s="150" customFormat="1" ht="15.6" x14ac:dyDescent="0.3">
      <c r="A3" s="157" t="s">
        <v>292</v>
      </c>
      <c r="B3" s="156" t="s">
        <v>291</v>
      </c>
      <c r="C3" s="157" t="s">
        <v>290</v>
      </c>
      <c r="D3" s="156" t="s">
        <v>289</v>
      </c>
      <c r="E3" s="155" t="s">
        <v>288</v>
      </c>
      <c r="F3" s="154"/>
      <c r="G3" s="151" t="s">
        <v>287</v>
      </c>
      <c r="H3" s="151" t="s">
        <v>286</v>
      </c>
      <c r="I3" s="151" t="s">
        <v>285</v>
      </c>
      <c r="J3" s="152" t="s">
        <v>284</v>
      </c>
      <c r="K3" s="153" t="s">
        <v>6</v>
      </c>
      <c r="L3" s="153" t="s">
        <v>283</v>
      </c>
      <c r="M3" s="152" t="s">
        <v>282</v>
      </c>
      <c r="N3" s="151" t="s">
        <v>281</v>
      </c>
      <c r="O3" s="152" t="s">
        <v>280</v>
      </c>
      <c r="P3" s="152" t="s">
        <v>279</v>
      </c>
      <c r="Q3" s="151" t="s">
        <v>278</v>
      </c>
      <c r="R3" s="152" t="s">
        <v>277</v>
      </c>
      <c r="S3" s="151" t="s">
        <v>276</v>
      </c>
    </row>
    <row r="4" spans="1:19" ht="15" thickBot="1" x14ac:dyDescent="0.35">
      <c r="A4" s="357" t="s">
        <v>591</v>
      </c>
      <c r="B4" s="134">
        <v>6</v>
      </c>
      <c r="C4" s="144" t="s">
        <v>207</v>
      </c>
      <c r="D4" s="143">
        <v>1.4999999999999999E-2</v>
      </c>
      <c r="E4" s="149">
        <v>50</v>
      </c>
      <c r="G4" s="148">
        <v>0.3</v>
      </c>
      <c r="H4" s="146">
        <v>1.41</v>
      </c>
      <c r="I4" s="146">
        <v>0.25</v>
      </c>
      <c r="J4" s="147">
        <v>0.4</v>
      </c>
      <c r="K4" s="134" t="s">
        <v>605</v>
      </c>
      <c r="L4" s="134">
        <v>0.45</v>
      </c>
      <c r="M4" s="145">
        <v>200</v>
      </c>
      <c r="N4" s="145">
        <v>100</v>
      </c>
      <c r="O4" s="145">
        <v>0</v>
      </c>
      <c r="P4" s="145">
        <v>0.3</v>
      </c>
      <c r="Q4" s="146">
        <v>0.1</v>
      </c>
      <c r="R4" s="146">
        <v>10000000</v>
      </c>
      <c r="S4" s="145">
        <v>0.1</v>
      </c>
    </row>
    <row r="5" spans="1:19" ht="14.4" x14ac:dyDescent="0.3">
      <c r="A5" s="357" t="s">
        <v>603</v>
      </c>
      <c r="B5" s="134">
        <v>9</v>
      </c>
      <c r="C5" s="144" t="s">
        <v>199</v>
      </c>
      <c r="D5" s="143">
        <v>1.4999999999999999E-2</v>
      </c>
      <c r="E5" s="142"/>
      <c r="K5" s="134" t="s">
        <v>77</v>
      </c>
      <c r="L5" s="134">
        <v>0.45</v>
      </c>
    </row>
    <row r="6" spans="1:19" ht="14.4" x14ac:dyDescent="0.3">
      <c r="A6" s="357" t="s">
        <v>604</v>
      </c>
      <c r="B6" s="134">
        <v>2</v>
      </c>
      <c r="C6" s="144" t="s">
        <v>191</v>
      </c>
      <c r="D6" s="143">
        <v>1.4999999999999999E-2</v>
      </c>
      <c r="E6" s="142"/>
      <c r="K6" s="134" t="s">
        <v>608</v>
      </c>
      <c r="L6" s="134">
        <v>0.5</v>
      </c>
    </row>
    <row r="7" spans="1:19" ht="14.4" x14ac:dyDescent="0.3">
      <c r="A7" s="357" t="s">
        <v>597</v>
      </c>
      <c r="B7" s="134">
        <v>5</v>
      </c>
      <c r="K7" s="134" t="s">
        <v>76</v>
      </c>
      <c r="L7" s="134">
        <v>0.45</v>
      </c>
    </row>
    <row r="8" spans="1:19" ht="14.4" x14ac:dyDescent="0.3">
      <c r="A8" s="357" t="s">
        <v>598</v>
      </c>
      <c r="B8" s="134">
        <v>4</v>
      </c>
      <c r="K8" s="134" t="s">
        <v>611</v>
      </c>
      <c r="L8" s="134">
        <v>0.45</v>
      </c>
    </row>
    <row r="9" spans="1:19" ht="15" customHeight="1" x14ac:dyDescent="0.3">
      <c r="A9" s="357" t="s">
        <v>593</v>
      </c>
      <c r="B9" s="134">
        <v>5</v>
      </c>
    </row>
    <row r="10" spans="1:19" ht="14.4" x14ac:dyDescent="0.3">
      <c r="A10" s="357" t="s">
        <v>595</v>
      </c>
      <c r="B10" s="134">
        <v>2</v>
      </c>
    </row>
    <row r="11" spans="1:19" ht="14.4" x14ac:dyDescent="0.3">
      <c r="A11" s="357" t="s">
        <v>590</v>
      </c>
      <c r="B11" s="134">
        <v>2</v>
      </c>
    </row>
    <row r="12" spans="1:19" ht="14.4" x14ac:dyDescent="0.3">
      <c r="A12" s="357" t="s">
        <v>600</v>
      </c>
      <c r="B12" s="134">
        <v>5</v>
      </c>
    </row>
    <row r="13" spans="1:19" ht="14.4" x14ac:dyDescent="0.3">
      <c r="A13" s="357" t="s">
        <v>594</v>
      </c>
      <c r="B13" s="134">
        <v>4</v>
      </c>
    </row>
    <row r="14" spans="1:19" ht="14.4" x14ac:dyDescent="0.3">
      <c r="A14" s="357" t="s">
        <v>592</v>
      </c>
      <c r="B14" s="134">
        <v>5</v>
      </c>
    </row>
    <row r="15" spans="1:19" ht="14.4" x14ac:dyDescent="0.3">
      <c r="A15" s="357" t="s">
        <v>596</v>
      </c>
      <c r="B15" s="134">
        <v>2</v>
      </c>
    </row>
    <row r="16" spans="1:19" ht="14.4" x14ac:dyDescent="0.3">
      <c r="A16" s="357" t="s">
        <v>599</v>
      </c>
      <c r="B16" s="134">
        <v>2.5454545454545401</v>
      </c>
    </row>
    <row r="17" spans="1:2" ht="14.4" x14ac:dyDescent="0.3">
      <c r="A17" s="357" t="s">
        <v>601</v>
      </c>
      <c r="B17" s="134">
        <v>2.2832167832167798</v>
      </c>
    </row>
    <row r="18" spans="1:2" ht="14.4" x14ac:dyDescent="0.3">
      <c r="A18" s="357" t="s">
        <v>602</v>
      </c>
      <c r="B18" s="134">
        <v>2.0209790209790199</v>
      </c>
    </row>
    <row r="19" spans="1:2" ht="14.4" x14ac:dyDescent="0.3">
      <c r="A19" s="329" t="s">
        <v>585</v>
      </c>
      <c r="B19" s="134">
        <v>1.7587412587412601</v>
      </c>
    </row>
    <row r="20" spans="1:2" ht="14.4" x14ac:dyDescent="0.3">
      <c r="A20" s="329" t="s">
        <v>586</v>
      </c>
      <c r="B20" s="134">
        <v>1.4965034965035</v>
      </c>
    </row>
    <row r="21" spans="1:2" x14ac:dyDescent="0.25">
      <c r="A21" s="140"/>
      <c r="B21" s="139"/>
    </row>
    <row r="22" spans="1:2" x14ac:dyDescent="0.25">
      <c r="A22" s="140"/>
      <c r="B22" s="139"/>
    </row>
    <row r="23" spans="1:2" x14ac:dyDescent="0.25">
      <c r="A23" s="140"/>
      <c r="B23" s="139"/>
    </row>
    <row r="24" spans="1:2" x14ac:dyDescent="0.25">
      <c r="A24" s="140"/>
      <c r="B24" s="139"/>
    </row>
  </sheetData>
  <mergeCells count="4">
    <mergeCell ref="A1:B1"/>
    <mergeCell ref="C1:D1"/>
    <mergeCell ref="K1:L1"/>
    <mergeCell ref="K2:L2"/>
  </mergeCells>
  <hyperlinks>
    <hyperlink ref="H2" r:id="rId1" xr:uid="{78852393-C0B3-4976-AE55-7A3DC234C41A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01966-0426-433B-ADB8-D4A6CB914532}">
  <dimension ref="A1:AR144"/>
  <sheetViews>
    <sheetView zoomScale="85" zoomScaleNormal="85" workbookViewId="0">
      <selection activeCell="K4" sqref="K4:K8"/>
    </sheetView>
  </sheetViews>
  <sheetFormatPr baseColWidth="10" defaultRowHeight="14.4" x14ac:dyDescent="0.3"/>
  <cols>
    <col min="1" max="5" width="11.5546875" style="134"/>
    <col min="6" max="6" width="25.109375" style="134" customWidth="1"/>
    <col min="7" max="7" width="26.6640625" style="6" customWidth="1"/>
    <col min="8" max="8" width="32" style="8" customWidth="1"/>
    <col min="9" max="9" width="23.21875" style="134" customWidth="1"/>
    <col min="10" max="10" width="26.6640625" style="8" customWidth="1"/>
    <col min="11" max="11" width="21.88671875" style="134" customWidth="1"/>
    <col min="12" max="12" width="30" style="8" customWidth="1"/>
    <col min="13" max="17" width="11.5546875" style="134"/>
    <col min="18" max="18" width="16" style="134" customWidth="1"/>
    <col min="19" max="27" width="11.5546875" style="134"/>
    <col min="28" max="28" width="14.77734375" style="134" customWidth="1"/>
    <col min="29" max="30" width="11.5546875" style="134"/>
    <col min="31" max="31" width="11.5546875" style="6"/>
    <col min="32" max="32" width="18.6640625" style="134" customWidth="1"/>
    <col min="33" max="33" width="20" style="8" customWidth="1"/>
    <col min="34" max="39" width="11.5546875" style="134"/>
    <col min="40" max="40" width="18.6640625" style="134" customWidth="1"/>
    <col min="41" max="41" width="11.5546875" style="134"/>
    <col min="42" max="42" width="23.33203125" style="134" customWidth="1"/>
    <col min="43" max="43" width="11.5546875" style="6"/>
    <col min="44" max="44" width="19.21875" style="8" customWidth="1"/>
    <col min="45" max="16384" width="11.5546875" style="134"/>
  </cols>
  <sheetData>
    <row r="1" spans="1:44" ht="34.200000000000003" customHeight="1" x14ac:dyDescent="0.3">
      <c r="A1" s="203" t="s">
        <v>381</v>
      </c>
      <c r="B1" s="203" t="s">
        <v>380</v>
      </c>
      <c r="C1" s="203" t="s">
        <v>379</v>
      </c>
      <c r="D1" s="203" t="s">
        <v>378</v>
      </c>
      <c r="E1" s="203" t="s">
        <v>377</v>
      </c>
      <c r="F1" s="326" t="s">
        <v>376</v>
      </c>
      <c r="G1" s="420" t="s">
        <v>375</v>
      </c>
      <c r="H1" s="421"/>
      <c r="I1" s="422" t="s">
        <v>374</v>
      </c>
      <c r="J1" s="421"/>
      <c r="K1" s="422" t="s">
        <v>373</v>
      </c>
      <c r="L1" s="421"/>
      <c r="M1" s="417" t="s">
        <v>372</v>
      </c>
      <c r="N1" s="419"/>
      <c r="O1" s="419"/>
      <c r="P1" s="419"/>
      <c r="Q1" s="419"/>
      <c r="R1" s="419"/>
      <c r="S1" s="419"/>
      <c r="T1" s="419"/>
      <c r="U1" s="419"/>
      <c r="V1" s="419"/>
      <c r="W1" s="419"/>
      <c r="X1" s="419"/>
      <c r="Y1" s="419"/>
      <c r="Z1" s="418"/>
      <c r="AA1" s="417" t="s">
        <v>371</v>
      </c>
      <c r="AB1" s="419"/>
      <c r="AC1" s="419"/>
      <c r="AD1" s="418"/>
      <c r="AE1" s="417" t="s">
        <v>344</v>
      </c>
      <c r="AF1" s="419"/>
      <c r="AG1" s="418"/>
      <c r="AH1" s="202" t="s">
        <v>370</v>
      </c>
      <c r="AI1" s="201"/>
      <c r="AJ1" s="201"/>
      <c r="AK1" s="201"/>
      <c r="AL1" s="200"/>
      <c r="AM1" s="417" t="s">
        <v>369</v>
      </c>
      <c r="AN1" s="419"/>
      <c r="AO1" s="419"/>
      <c r="AP1" s="418"/>
      <c r="AQ1" s="417" t="s">
        <v>368</v>
      </c>
      <c r="AR1" s="418"/>
    </row>
    <row r="2" spans="1:44" ht="30.6" thickBot="1" x14ac:dyDescent="0.35">
      <c r="A2" s="199" t="s">
        <v>88</v>
      </c>
      <c r="B2" s="198" t="s">
        <v>89</v>
      </c>
      <c r="C2" s="197" t="s">
        <v>90</v>
      </c>
      <c r="D2" s="196" t="s">
        <v>91</v>
      </c>
      <c r="E2" s="195" t="s">
        <v>92</v>
      </c>
      <c r="F2" s="169"/>
      <c r="G2" s="169" t="s">
        <v>367</v>
      </c>
      <c r="H2" s="194" t="s">
        <v>365</v>
      </c>
      <c r="I2" s="2" t="s">
        <v>366</v>
      </c>
      <c r="J2" s="194" t="s">
        <v>365</v>
      </c>
      <c r="K2" s="2" t="s">
        <v>364</v>
      </c>
      <c r="L2" s="194" t="s">
        <v>363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170"/>
      <c r="AA2" s="169"/>
      <c r="AB2" s="2"/>
      <c r="AC2" s="2"/>
      <c r="AD2" s="2"/>
      <c r="AE2" s="169"/>
      <c r="AF2" s="2"/>
      <c r="AG2" s="170"/>
      <c r="AH2" s="2"/>
      <c r="AI2" s="2"/>
      <c r="AJ2" s="2"/>
      <c r="AK2" s="2"/>
      <c r="AL2" s="170"/>
      <c r="AM2" s="169"/>
      <c r="AN2" s="2"/>
      <c r="AO2" s="2"/>
      <c r="AP2" s="2"/>
      <c r="AQ2" s="168"/>
      <c r="AR2" s="167"/>
    </row>
    <row r="3" spans="1:44" ht="78.599999999999994" thickBot="1" x14ac:dyDescent="0.35">
      <c r="A3" s="190" t="s">
        <v>362</v>
      </c>
      <c r="B3" s="190" t="s">
        <v>361</v>
      </c>
      <c r="C3" s="190" t="s">
        <v>360</v>
      </c>
      <c r="D3" s="190" t="s">
        <v>79</v>
      </c>
      <c r="E3" s="190" t="s">
        <v>359</v>
      </c>
      <c r="F3" s="191" t="s">
        <v>73</v>
      </c>
      <c r="G3" s="193" t="s">
        <v>73</v>
      </c>
      <c r="H3" s="192" t="s">
        <v>358</v>
      </c>
      <c r="I3" s="191" t="s">
        <v>73</v>
      </c>
      <c r="J3" s="190" t="s">
        <v>357</v>
      </c>
      <c r="K3" s="191" t="s">
        <v>73</v>
      </c>
      <c r="L3" s="190" t="s">
        <v>356</v>
      </c>
      <c r="M3" s="187" t="s">
        <v>44</v>
      </c>
      <c r="N3" s="187" t="s">
        <v>337</v>
      </c>
      <c r="O3" s="187" t="s">
        <v>342</v>
      </c>
      <c r="P3" s="187" t="s">
        <v>355</v>
      </c>
      <c r="Q3" s="187" t="s">
        <v>354</v>
      </c>
      <c r="R3" s="187" t="s">
        <v>353</v>
      </c>
      <c r="S3" s="187" t="s">
        <v>352</v>
      </c>
      <c r="T3" s="187" t="s">
        <v>351</v>
      </c>
      <c r="U3" s="187" t="s">
        <v>350</v>
      </c>
      <c r="V3" s="187" t="s">
        <v>349</v>
      </c>
      <c r="W3" s="187" t="s">
        <v>348</v>
      </c>
      <c r="X3" s="188" t="s">
        <v>347</v>
      </c>
      <c r="AA3" s="189" t="s">
        <v>44</v>
      </c>
      <c r="AB3" s="187" t="s">
        <v>337</v>
      </c>
      <c r="AC3" s="187" t="s">
        <v>346</v>
      </c>
      <c r="AD3" s="187" t="s">
        <v>345</v>
      </c>
      <c r="AE3" s="189" t="s">
        <v>44</v>
      </c>
      <c r="AF3" s="187" t="s">
        <v>336</v>
      </c>
      <c r="AG3" s="188" t="s">
        <v>344</v>
      </c>
      <c r="AH3" s="187" t="s">
        <v>44</v>
      </c>
      <c r="AI3" s="187" t="s">
        <v>337</v>
      </c>
      <c r="AJ3" s="187" t="s">
        <v>343</v>
      </c>
      <c r="AK3" s="187" t="s">
        <v>342</v>
      </c>
      <c r="AL3" s="188" t="s">
        <v>341</v>
      </c>
      <c r="AM3" s="187" t="s">
        <v>337</v>
      </c>
      <c r="AN3" s="187" t="s">
        <v>340</v>
      </c>
      <c r="AO3" s="187" t="s">
        <v>339</v>
      </c>
      <c r="AP3" s="187" t="s">
        <v>338</v>
      </c>
      <c r="AQ3" s="189" t="s">
        <v>337</v>
      </c>
      <c r="AR3" s="188" t="s">
        <v>336</v>
      </c>
    </row>
    <row r="4" spans="1:44" ht="46.8" x14ac:dyDescent="0.3">
      <c r="A4" s="181" t="s">
        <v>28</v>
      </c>
      <c r="B4" s="181" t="s">
        <v>27</v>
      </c>
      <c r="C4" s="181" t="s">
        <v>28</v>
      </c>
      <c r="D4" s="181" t="s">
        <v>68</v>
      </c>
      <c r="E4" s="181">
        <v>1</v>
      </c>
      <c r="F4" s="56" t="s">
        <v>77</v>
      </c>
      <c r="G4" s="56" t="s">
        <v>77</v>
      </c>
      <c r="H4" s="185">
        <v>18</v>
      </c>
      <c r="I4" s="173" t="s">
        <v>77</v>
      </c>
      <c r="J4" s="184">
        <v>0.89500000000000002</v>
      </c>
      <c r="K4" s="173" t="s">
        <v>77</v>
      </c>
      <c r="L4" s="184">
        <v>0.4</v>
      </c>
      <c r="M4" s="187" t="s">
        <v>258</v>
      </c>
      <c r="N4" s="187" t="s">
        <v>79</v>
      </c>
      <c r="O4" s="187" t="s">
        <v>322</v>
      </c>
      <c r="P4" s="187" t="s">
        <v>335</v>
      </c>
      <c r="Q4" s="187" t="s">
        <v>334</v>
      </c>
      <c r="R4" s="187" t="s">
        <v>333</v>
      </c>
      <c r="S4" s="187" t="s">
        <v>332</v>
      </c>
      <c r="T4" s="187" t="s">
        <v>331</v>
      </c>
      <c r="U4" s="187" t="s">
        <v>330</v>
      </c>
      <c r="V4" s="187" t="s">
        <v>329</v>
      </c>
      <c r="W4" s="187" t="s">
        <v>328</v>
      </c>
      <c r="X4" s="188" t="s">
        <v>327</v>
      </c>
      <c r="AA4" s="157" t="s">
        <v>258</v>
      </c>
      <c r="AB4" s="153" t="s">
        <v>326</v>
      </c>
      <c r="AC4" s="153" t="s">
        <v>325</v>
      </c>
      <c r="AD4" s="153" t="s">
        <v>324</v>
      </c>
      <c r="AE4" s="157" t="s">
        <v>258</v>
      </c>
      <c r="AF4" s="153" t="s">
        <v>73</v>
      </c>
      <c r="AG4" s="156" t="s">
        <v>323</v>
      </c>
      <c r="AH4" s="153" t="s">
        <v>258</v>
      </c>
      <c r="AI4" s="153" t="s">
        <v>79</v>
      </c>
      <c r="AJ4" s="153" t="s">
        <v>214</v>
      </c>
      <c r="AK4" s="187" t="s">
        <v>322</v>
      </c>
      <c r="AL4" s="156" t="s">
        <v>321</v>
      </c>
      <c r="AM4" s="157" t="s">
        <v>79</v>
      </c>
      <c r="AN4" s="153" t="s">
        <v>320</v>
      </c>
      <c r="AO4" s="153" t="s">
        <v>319</v>
      </c>
      <c r="AP4" s="153" t="s">
        <v>318</v>
      </c>
      <c r="AQ4" s="157" t="s">
        <v>79</v>
      </c>
      <c r="AR4" s="156" t="s">
        <v>73</v>
      </c>
    </row>
    <row r="5" spans="1:44" ht="15" x14ac:dyDescent="0.3">
      <c r="A5" s="181" t="s">
        <v>625</v>
      </c>
      <c r="B5" s="181" t="s">
        <v>26</v>
      </c>
      <c r="C5" s="181" t="s">
        <v>625</v>
      </c>
      <c r="D5" s="181" t="s">
        <v>69</v>
      </c>
      <c r="E5" s="181">
        <v>2</v>
      </c>
      <c r="F5" s="366" t="s">
        <v>614</v>
      </c>
      <c r="G5" s="367" t="s">
        <v>614</v>
      </c>
      <c r="H5" s="270">
        <v>18</v>
      </c>
      <c r="I5" s="367" t="s">
        <v>614</v>
      </c>
      <c r="J5" s="368">
        <v>0.9</v>
      </c>
      <c r="K5" s="367" t="s">
        <v>614</v>
      </c>
      <c r="L5" s="368">
        <v>1.8</v>
      </c>
      <c r="M5" s="56" t="s">
        <v>15</v>
      </c>
      <c r="N5" s="56" t="s">
        <v>68</v>
      </c>
      <c r="O5" s="56">
        <v>1</v>
      </c>
      <c r="P5" s="70">
        <v>0</v>
      </c>
      <c r="Q5" s="70" t="s">
        <v>97</v>
      </c>
      <c r="R5" s="70">
        <v>1</v>
      </c>
      <c r="S5" s="171">
        <v>4.5</v>
      </c>
      <c r="T5" s="171">
        <v>8</v>
      </c>
      <c r="U5" s="70">
        <v>0</v>
      </c>
      <c r="V5" s="70">
        <v>5</v>
      </c>
      <c r="W5" s="70">
        <v>3</v>
      </c>
      <c r="X5" s="57">
        <v>2</v>
      </c>
      <c r="AA5" s="173" t="s">
        <v>15</v>
      </c>
      <c r="AB5" s="56" t="s">
        <v>68</v>
      </c>
      <c r="AC5" s="56" t="s">
        <v>86</v>
      </c>
      <c r="AD5" s="369">
        <v>20</v>
      </c>
      <c r="AE5" s="173" t="s">
        <v>15</v>
      </c>
      <c r="AF5" s="56" t="s">
        <v>77</v>
      </c>
      <c r="AG5" s="368">
        <v>20</v>
      </c>
      <c r="AH5" s="56" t="s">
        <v>15</v>
      </c>
      <c r="AI5" s="56" t="s">
        <v>68</v>
      </c>
      <c r="AJ5" s="56" t="s">
        <v>25</v>
      </c>
      <c r="AK5" s="56">
        <v>1</v>
      </c>
      <c r="AL5" s="57">
        <v>0</v>
      </c>
      <c r="AM5" s="173" t="s">
        <v>68</v>
      </c>
      <c r="AN5" s="171">
        <v>25000</v>
      </c>
      <c r="AO5" s="171">
        <v>500</v>
      </c>
      <c r="AP5" s="171">
        <v>2800</v>
      </c>
      <c r="AQ5" s="173" t="s">
        <v>68</v>
      </c>
      <c r="AR5" s="56" t="s">
        <v>77</v>
      </c>
    </row>
    <row r="6" spans="1:44" ht="15" x14ac:dyDescent="0.3">
      <c r="A6" s="181" t="s">
        <v>27</v>
      </c>
      <c r="B6" s="181" t="s">
        <v>25</v>
      </c>
      <c r="C6" s="172"/>
      <c r="D6" s="181" t="s">
        <v>70</v>
      </c>
      <c r="E6" s="181">
        <v>3</v>
      </c>
      <c r="F6" s="186" t="s">
        <v>112</v>
      </c>
      <c r="G6" s="186" t="s">
        <v>112</v>
      </c>
      <c r="H6" s="185">
        <v>18</v>
      </c>
      <c r="I6" s="186" t="s">
        <v>112</v>
      </c>
      <c r="J6" s="184">
        <v>0.89500000000000002</v>
      </c>
      <c r="K6" s="186" t="s">
        <v>112</v>
      </c>
      <c r="L6" s="184">
        <v>0.4</v>
      </c>
      <c r="M6" s="56" t="s">
        <v>15</v>
      </c>
      <c r="N6" s="56" t="s">
        <v>69</v>
      </c>
      <c r="O6" s="56">
        <v>1</v>
      </c>
      <c r="P6" s="70">
        <v>0</v>
      </c>
      <c r="Q6" s="70">
        <v>0</v>
      </c>
      <c r="R6" s="70">
        <v>1</v>
      </c>
      <c r="S6" s="171">
        <v>6</v>
      </c>
      <c r="T6" s="171">
        <v>10</v>
      </c>
      <c r="U6" s="70">
        <v>0</v>
      </c>
      <c r="V6" s="70">
        <v>2</v>
      </c>
      <c r="W6" s="70">
        <v>1</v>
      </c>
      <c r="X6" s="57">
        <v>1</v>
      </c>
      <c r="AA6" s="173" t="s">
        <v>15</v>
      </c>
      <c r="AB6" s="56" t="s">
        <v>69</v>
      </c>
      <c r="AC6" s="56" t="s">
        <v>86</v>
      </c>
      <c r="AD6" s="369">
        <v>20</v>
      </c>
      <c r="AE6" s="173" t="s">
        <v>15</v>
      </c>
      <c r="AF6" s="366" t="s">
        <v>614</v>
      </c>
      <c r="AG6" s="368">
        <v>25</v>
      </c>
      <c r="AH6" s="56" t="s">
        <v>15</v>
      </c>
      <c r="AI6" s="56" t="s">
        <v>70</v>
      </c>
      <c r="AJ6" s="56" t="s">
        <v>26</v>
      </c>
      <c r="AK6" s="56">
        <v>1</v>
      </c>
      <c r="AL6" s="57">
        <v>0</v>
      </c>
      <c r="AM6" s="173" t="s">
        <v>69</v>
      </c>
      <c r="AN6" s="171">
        <v>5200</v>
      </c>
      <c r="AO6" s="171">
        <v>100</v>
      </c>
      <c r="AP6" s="171">
        <v>650</v>
      </c>
      <c r="AQ6" s="173" t="s">
        <v>68</v>
      </c>
      <c r="AR6" s="366" t="s">
        <v>614</v>
      </c>
    </row>
    <row r="7" spans="1:44" ht="15" x14ac:dyDescent="0.3">
      <c r="A7" s="181" t="s">
        <v>26</v>
      </c>
      <c r="B7" s="172"/>
      <c r="C7" s="172"/>
      <c r="D7" s="181" t="s">
        <v>71</v>
      </c>
      <c r="E7" s="181">
        <v>4</v>
      </c>
      <c r="F7" s="169" t="s">
        <v>607</v>
      </c>
      <c r="G7" s="169" t="s">
        <v>607</v>
      </c>
      <c r="H7" s="370">
        <v>18.100000000000001</v>
      </c>
      <c r="I7" s="169" t="s">
        <v>607</v>
      </c>
      <c r="J7" s="371">
        <v>28.1</v>
      </c>
      <c r="K7" s="169" t="s">
        <v>607</v>
      </c>
      <c r="L7" s="184">
        <v>0.8</v>
      </c>
      <c r="M7" s="56" t="s">
        <v>15</v>
      </c>
      <c r="N7" s="56" t="s">
        <v>70</v>
      </c>
      <c r="O7" s="56">
        <v>1</v>
      </c>
      <c r="P7" s="70">
        <v>0</v>
      </c>
      <c r="Q7" s="70">
        <v>0</v>
      </c>
      <c r="R7" s="70">
        <v>1</v>
      </c>
      <c r="S7" s="171">
        <v>5.5</v>
      </c>
      <c r="T7" s="171">
        <v>9</v>
      </c>
      <c r="U7" s="70">
        <v>0</v>
      </c>
      <c r="V7" s="70">
        <v>2</v>
      </c>
      <c r="W7" s="70">
        <v>1</v>
      </c>
      <c r="X7" s="57">
        <v>1</v>
      </c>
      <c r="AA7" s="173" t="s">
        <v>15</v>
      </c>
      <c r="AB7" s="56" t="s">
        <v>70</v>
      </c>
      <c r="AC7" s="56" t="s">
        <v>86</v>
      </c>
      <c r="AD7" s="369">
        <v>20</v>
      </c>
      <c r="AE7" s="173" t="s">
        <v>15</v>
      </c>
      <c r="AF7" s="186" t="s">
        <v>112</v>
      </c>
      <c r="AG7" s="331">
        <v>34</v>
      </c>
      <c r="AH7" s="56" t="s">
        <v>15</v>
      </c>
      <c r="AI7" s="56" t="s">
        <v>71</v>
      </c>
      <c r="AJ7" s="56" t="s">
        <v>625</v>
      </c>
      <c r="AK7" s="56">
        <v>1</v>
      </c>
      <c r="AL7" s="57">
        <v>0</v>
      </c>
      <c r="AM7" s="173" t="s">
        <v>70</v>
      </c>
      <c r="AN7" s="171">
        <v>4200</v>
      </c>
      <c r="AO7" s="171">
        <v>85</v>
      </c>
      <c r="AP7" s="171">
        <v>550</v>
      </c>
      <c r="AQ7" s="173" t="s">
        <v>68</v>
      </c>
      <c r="AR7" s="186" t="s">
        <v>112</v>
      </c>
    </row>
    <row r="8" spans="1:44" ht="15" x14ac:dyDescent="0.3">
      <c r="A8" s="181" t="s">
        <v>25</v>
      </c>
      <c r="B8" s="172"/>
      <c r="C8" s="172"/>
      <c r="D8" s="181" t="s">
        <v>67</v>
      </c>
      <c r="E8" s="181">
        <v>5</v>
      </c>
      <c r="F8" s="169" t="s">
        <v>618</v>
      </c>
      <c r="G8" s="169" t="s">
        <v>618</v>
      </c>
      <c r="H8" s="370">
        <v>18.7</v>
      </c>
      <c r="I8" s="169" t="s">
        <v>618</v>
      </c>
      <c r="J8" s="182">
        <v>0.87</v>
      </c>
      <c r="K8" s="169" t="s">
        <v>618</v>
      </c>
      <c r="L8" s="182">
        <v>0.3</v>
      </c>
      <c r="M8" s="56" t="s">
        <v>15</v>
      </c>
      <c r="N8" s="56" t="s">
        <v>71</v>
      </c>
      <c r="O8" s="56">
        <v>1</v>
      </c>
      <c r="P8" s="70">
        <v>0</v>
      </c>
      <c r="Q8" s="70">
        <v>0</v>
      </c>
      <c r="R8" s="70">
        <v>1</v>
      </c>
      <c r="S8" s="171">
        <v>6</v>
      </c>
      <c r="T8" s="171">
        <v>9.5</v>
      </c>
      <c r="U8" s="70">
        <v>0</v>
      </c>
      <c r="V8" s="70">
        <v>3</v>
      </c>
      <c r="W8" s="70">
        <v>2</v>
      </c>
      <c r="X8" s="57">
        <v>1</v>
      </c>
      <c r="AA8" s="173" t="s">
        <v>15</v>
      </c>
      <c r="AB8" s="56" t="s">
        <v>71</v>
      </c>
      <c r="AC8" s="56" t="s">
        <v>86</v>
      </c>
      <c r="AD8" s="369">
        <v>20</v>
      </c>
      <c r="AE8" s="173" t="s">
        <v>15</v>
      </c>
      <c r="AF8" s="169" t="s">
        <v>607</v>
      </c>
      <c r="AG8" s="331">
        <f t="shared" ref="AG8" si="0">70000*100/40000</f>
        <v>175</v>
      </c>
      <c r="AH8" s="56" t="s">
        <v>15</v>
      </c>
      <c r="AI8" s="56" t="s">
        <v>69</v>
      </c>
      <c r="AJ8" s="56" t="s">
        <v>27</v>
      </c>
      <c r="AK8" s="56">
        <v>1</v>
      </c>
      <c r="AL8" s="57">
        <v>0</v>
      </c>
      <c r="AM8" s="173" t="s">
        <v>71</v>
      </c>
      <c r="AN8" s="171">
        <v>6500</v>
      </c>
      <c r="AO8" s="171">
        <v>150</v>
      </c>
      <c r="AP8" s="171">
        <v>950</v>
      </c>
      <c r="AQ8" s="173" t="s">
        <v>68</v>
      </c>
      <c r="AR8" s="169" t="s">
        <v>607</v>
      </c>
    </row>
    <row r="9" spans="1:44" ht="15" x14ac:dyDescent="0.3">
      <c r="A9" s="172"/>
      <c r="B9" s="172"/>
      <c r="C9" s="172"/>
      <c r="D9" s="172"/>
      <c r="E9" s="181">
        <v>6</v>
      </c>
      <c r="G9" s="26"/>
      <c r="H9" s="183"/>
      <c r="I9" s="60"/>
      <c r="J9" s="183"/>
      <c r="K9" s="60"/>
      <c r="L9" s="182"/>
      <c r="M9" s="56" t="s">
        <v>15</v>
      </c>
      <c r="N9" s="56" t="s">
        <v>67</v>
      </c>
      <c r="O9" s="56">
        <v>1</v>
      </c>
      <c r="P9" s="70">
        <v>0</v>
      </c>
      <c r="Q9" s="70">
        <v>0</v>
      </c>
      <c r="R9" s="70">
        <v>1</v>
      </c>
      <c r="S9" s="171">
        <v>4</v>
      </c>
      <c r="T9" s="171">
        <v>7</v>
      </c>
      <c r="U9" s="134">
        <v>2</v>
      </c>
      <c r="V9" s="70">
        <v>10</v>
      </c>
      <c r="W9" s="70">
        <v>5</v>
      </c>
      <c r="X9" s="57">
        <v>5</v>
      </c>
      <c r="AA9" s="173" t="s">
        <v>15</v>
      </c>
      <c r="AB9" s="56" t="s">
        <v>67</v>
      </c>
      <c r="AC9" s="56" t="s">
        <v>86</v>
      </c>
      <c r="AD9" s="369">
        <v>20</v>
      </c>
      <c r="AE9" s="173" t="s">
        <v>15</v>
      </c>
      <c r="AF9" s="169" t="s">
        <v>618</v>
      </c>
      <c r="AG9" s="331">
        <v>85</v>
      </c>
      <c r="AH9" s="56" t="s">
        <v>15</v>
      </c>
      <c r="AI9" s="56" t="s">
        <v>67</v>
      </c>
      <c r="AJ9" s="56" t="s">
        <v>28</v>
      </c>
      <c r="AK9" s="56">
        <v>1</v>
      </c>
      <c r="AL9" s="57">
        <v>0</v>
      </c>
      <c r="AM9" s="173" t="s">
        <v>67</v>
      </c>
      <c r="AN9" s="171">
        <v>55000</v>
      </c>
      <c r="AO9" s="171">
        <v>1100</v>
      </c>
      <c r="AP9" s="171">
        <v>7000</v>
      </c>
      <c r="AQ9" s="173" t="s">
        <v>68</v>
      </c>
      <c r="AR9" s="169" t="s">
        <v>618</v>
      </c>
    </row>
    <row r="10" spans="1:44" ht="15" x14ac:dyDescent="0.3">
      <c r="A10" s="172"/>
      <c r="B10" s="172"/>
      <c r="C10" s="172"/>
      <c r="D10" s="172"/>
      <c r="E10" s="181">
        <v>7</v>
      </c>
      <c r="F10" s="169"/>
      <c r="G10" s="169"/>
      <c r="H10" s="170"/>
      <c r="I10" s="2"/>
      <c r="J10" s="170"/>
      <c r="K10" s="2"/>
      <c r="L10" s="170"/>
      <c r="M10" s="56" t="s">
        <v>15</v>
      </c>
      <c r="N10" s="56" t="s">
        <v>68</v>
      </c>
      <c r="O10" s="56">
        <v>2</v>
      </c>
      <c r="P10" s="70">
        <v>0</v>
      </c>
      <c r="Q10" s="70">
        <v>0</v>
      </c>
      <c r="R10" s="70">
        <v>1</v>
      </c>
      <c r="S10" s="171">
        <v>4.4000000000000004</v>
      </c>
      <c r="T10" s="171">
        <v>8</v>
      </c>
      <c r="U10" s="70">
        <v>1</v>
      </c>
      <c r="V10" s="70">
        <v>5</v>
      </c>
      <c r="W10" s="70">
        <v>3</v>
      </c>
      <c r="X10" s="57">
        <v>2</v>
      </c>
      <c r="AA10" s="173" t="s">
        <v>15</v>
      </c>
      <c r="AB10" s="56" t="s">
        <v>68</v>
      </c>
      <c r="AC10" s="56" t="s">
        <v>25</v>
      </c>
      <c r="AD10" s="171">
        <v>1300</v>
      </c>
      <c r="AE10" s="173" t="s">
        <v>256</v>
      </c>
      <c r="AF10" s="56" t="s">
        <v>77</v>
      </c>
      <c r="AG10" s="368">
        <v>20</v>
      </c>
      <c r="AH10" s="56" t="s">
        <v>15</v>
      </c>
      <c r="AI10" s="56" t="s">
        <v>68</v>
      </c>
      <c r="AJ10" s="56" t="s">
        <v>25</v>
      </c>
      <c r="AK10" s="56">
        <v>2</v>
      </c>
      <c r="AL10" s="57">
        <v>0</v>
      </c>
      <c r="AM10" s="169"/>
      <c r="AN10" s="2"/>
      <c r="AO10" s="2"/>
      <c r="AP10" s="2"/>
      <c r="AQ10" s="173" t="s">
        <v>70</v>
      </c>
      <c r="AR10" s="56" t="s">
        <v>77</v>
      </c>
    </row>
    <row r="11" spans="1:44" ht="15" x14ac:dyDescent="0.3">
      <c r="A11" s="172"/>
      <c r="B11" s="172"/>
      <c r="C11" s="172"/>
      <c r="D11" s="172"/>
      <c r="E11" s="181">
        <v>8</v>
      </c>
      <c r="F11" s="169"/>
      <c r="G11" s="169"/>
      <c r="H11" s="170"/>
      <c r="I11" s="2"/>
      <c r="J11" s="170"/>
      <c r="K11" s="2"/>
      <c r="L11" s="170"/>
      <c r="M11" s="56" t="s">
        <v>15</v>
      </c>
      <c r="N11" s="56" t="s">
        <v>69</v>
      </c>
      <c r="O11" s="56">
        <v>2</v>
      </c>
      <c r="P11" s="70">
        <v>0.3</v>
      </c>
      <c r="Q11" s="70">
        <v>0</v>
      </c>
      <c r="R11" s="70">
        <v>1</v>
      </c>
      <c r="S11" s="171">
        <v>5.8</v>
      </c>
      <c r="T11" s="171">
        <v>10</v>
      </c>
      <c r="U11" s="70">
        <v>0</v>
      </c>
      <c r="V11" s="70">
        <v>2</v>
      </c>
      <c r="W11" s="70">
        <v>1</v>
      </c>
      <c r="X11" s="57">
        <v>1</v>
      </c>
      <c r="AA11" s="173" t="s">
        <v>15</v>
      </c>
      <c r="AB11" s="56" t="s">
        <v>70</v>
      </c>
      <c r="AC11" s="56" t="s">
        <v>26</v>
      </c>
      <c r="AD11" s="171">
        <v>1200</v>
      </c>
      <c r="AE11" s="173" t="s">
        <v>256</v>
      </c>
      <c r="AF11" s="366" t="s">
        <v>614</v>
      </c>
      <c r="AG11" s="368">
        <v>25</v>
      </c>
      <c r="AH11" s="56" t="s">
        <v>15</v>
      </c>
      <c r="AI11" s="56" t="s">
        <v>70</v>
      </c>
      <c r="AJ11" s="56" t="s">
        <v>26</v>
      </c>
      <c r="AK11" s="56">
        <v>2</v>
      </c>
      <c r="AL11" s="57">
        <v>0</v>
      </c>
      <c r="AM11" s="169"/>
      <c r="AN11" s="2"/>
      <c r="AO11" s="2"/>
      <c r="AP11" s="2"/>
      <c r="AQ11" s="173" t="s">
        <v>70</v>
      </c>
      <c r="AR11" s="366" t="s">
        <v>614</v>
      </c>
    </row>
    <row r="12" spans="1:44" ht="15" x14ac:dyDescent="0.3">
      <c r="A12" s="172"/>
      <c r="B12" s="172"/>
      <c r="C12" s="172"/>
      <c r="D12" s="172"/>
      <c r="E12" s="181">
        <v>9</v>
      </c>
      <c r="F12" s="169"/>
      <c r="G12" s="169"/>
      <c r="H12" s="170"/>
      <c r="I12" s="2"/>
      <c r="J12" s="170"/>
      <c r="K12" s="2"/>
      <c r="L12" s="170"/>
      <c r="M12" s="56" t="s">
        <v>15</v>
      </c>
      <c r="N12" s="56" t="s">
        <v>70</v>
      </c>
      <c r="O12" s="56">
        <v>2</v>
      </c>
      <c r="P12" s="70">
        <v>0.3</v>
      </c>
      <c r="Q12" s="70">
        <v>0</v>
      </c>
      <c r="R12" s="70">
        <v>1</v>
      </c>
      <c r="S12" s="171">
        <v>5.3</v>
      </c>
      <c r="T12" s="171">
        <v>9</v>
      </c>
      <c r="U12" s="70">
        <v>0</v>
      </c>
      <c r="V12" s="70">
        <v>2</v>
      </c>
      <c r="W12" s="70">
        <v>1</v>
      </c>
      <c r="X12" s="57">
        <v>1</v>
      </c>
      <c r="AA12" s="173" t="s">
        <v>15</v>
      </c>
      <c r="AB12" s="56" t="s">
        <v>71</v>
      </c>
      <c r="AC12" s="56" t="s">
        <v>625</v>
      </c>
      <c r="AD12" s="372">
        <v>150</v>
      </c>
      <c r="AE12" s="173" t="s">
        <v>256</v>
      </c>
      <c r="AF12" s="186" t="s">
        <v>112</v>
      </c>
      <c r="AG12" s="331">
        <v>34</v>
      </c>
      <c r="AH12" s="56" t="s">
        <v>15</v>
      </c>
      <c r="AI12" s="56" t="s">
        <v>70</v>
      </c>
      <c r="AJ12" s="56" t="s">
        <v>625</v>
      </c>
      <c r="AK12" s="56">
        <v>2</v>
      </c>
      <c r="AL12" s="57">
        <v>200</v>
      </c>
      <c r="AM12" s="169"/>
      <c r="AN12" s="2"/>
      <c r="AO12" s="2"/>
      <c r="AP12" s="2"/>
      <c r="AQ12" s="173" t="s">
        <v>70</v>
      </c>
      <c r="AR12" s="186" t="s">
        <v>112</v>
      </c>
    </row>
    <row r="13" spans="1:44" ht="15" x14ac:dyDescent="0.3">
      <c r="A13" s="172"/>
      <c r="B13" s="172"/>
      <c r="C13" s="172"/>
      <c r="D13" s="172"/>
      <c r="E13" s="181">
        <v>10</v>
      </c>
      <c r="F13" s="180"/>
      <c r="G13" s="180"/>
      <c r="H13" s="179"/>
      <c r="I13" s="2"/>
      <c r="J13" s="170"/>
      <c r="K13" s="2"/>
      <c r="L13" s="170"/>
      <c r="M13" s="56" t="s">
        <v>15</v>
      </c>
      <c r="N13" s="56" t="s">
        <v>71</v>
      </c>
      <c r="O13" s="56">
        <v>2</v>
      </c>
      <c r="P13" s="70">
        <v>0.3</v>
      </c>
      <c r="Q13" s="70">
        <v>0</v>
      </c>
      <c r="R13" s="70">
        <v>1</v>
      </c>
      <c r="S13" s="171">
        <v>5.8</v>
      </c>
      <c r="T13" s="171">
        <v>9.5</v>
      </c>
      <c r="U13" s="70">
        <v>0</v>
      </c>
      <c r="V13" s="70">
        <v>3</v>
      </c>
      <c r="W13" s="70">
        <v>2</v>
      </c>
      <c r="X13" s="57">
        <v>1</v>
      </c>
      <c r="AA13" s="173" t="s">
        <v>15</v>
      </c>
      <c r="AB13" s="56" t="s">
        <v>69</v>
      </c>
      <c r="AC13" s="56" t="s">
        <v>27</v>
      </c>
      <c r="AD13" s="171">
        <v>1800</v>
      </c>
      <c r="AE13" s="173" t="s">
        <v>256</v>
      </c>
      <c r="AF13" s="169" t="s">
        <v>607</v>
      </c>
      <c r="AG13" s="331">
        <f t="shared" ref="AG13" si="1">70000*100/40000</f>
        <v>175</v>
      </c>
      <c r="AH13" s="56" t="s">
        <v>15</v>
      </c>
      <c r="AI13" s="56" t="s">
        <v>69</v>
      </c>
      <c r="AJ13" s="56" t="s">
        <v>27</v>
      </c>
      <c r="AK13" s="56">
        <v>2</v>
      </c>
      <c r="AL13" s="57">
        <v>20</v>
      </c>
      <c r="AM13" s="169"/>
      <c r="AN13" s="56"/>
      <c r="AO13" s="2"/>
      <c r="AP13" s="2"/>
      <c r="AQ13" s="173" t="s">
        <v>70</v>
      </c>
      <c r="AR13" s="169" t="s">
        <v>607</v>
      </c>
    </row>
    <row r="14" spans="1:44" ht="15" x14ac:dyDescent="0.3">
      <c r="A14" s="172"/>
      <c r="B14" s="172"/>
      <c r="C14" s="172"/>
      <c r="D14" s="172"/>
      <c r="E14" s="172"/>
      <c r="F14" s="175"/>
      <c r="G14" s="174"/>
      <c r="H14" s="176"/>
      <c r="I14" s="2"/>
      <c r="J14" s="170"/>
      <c r="K14" s="2"/>
      <c r="L14" s="170"/>
      <c r="M14" s="56" t="s">
        <v>15</v>
      </c>
      <c r="N14" s="56" t="s">
        <v>67</v>
      </c>
      <c r="O14" s="56">
        <v>2</v>
      </c>
      <c r="P14" s="70">
        <v>0.3</v>
      </c>
      <c r="Q14" s="70">
        <v>0</v>
      </c>
      <c r="R14" s="70">
        <v>1</v>
      </c>
      <c r="S14" s="171">
        <v>3.8</v>
      </c>
      <c r="T14" s="171">
        <v>7</v>
      </c>
      <c r="U14" s="70">
        <v>0</v>
      </c>
      <c r="V14" s="70">
        <v>10</v>
      </c>
      <c r="W14" s="70">
        <v>5</v>
      </c>
      <c r="X14" s="57">
        <v>5</v>
      </c>
      <c r="AA14" s="173" t="s">
        <v>15</v>
      </c>
      <c r="AB14" s="56" t="s">
        <v>67</v>
      </c>
      <c r="AC14" s="56" t="s">
        <v>28</v>
      </c>
      <c r="AD14" s="372">
        <v>65</v>
      </c>
      <c r="AE14" s="173" t="s">
        <v>256</v>
      </c>
      <c r="AF14" s="169" t="s">
        <v>618</v>
      </c>
      <c r="AG14" s="331">
        <v>85</v>
      </c>
      <c r="AH14" s="56" t="s">
        <v>15</v>
      </c>
      <c r="AI14" s="56" t="s">
        <v>67</v>
      </c>
      <c r="AJ14" s="56" t="s">
        <v>28</v>
      </c>
      <c r="AK14" s="56">
        <v>2</v>
      </c>
      <c r="AL14" s="57">
        <v>3000</v>
      </c>
      <c r="AM14" s="169"/>
      <c r="AN14" s="366"/>
      <c r="AO14" s="2"/>
      <c r="AP14" s="2"/>
      <c r="AQ14" s="173" t="s">
        <v>70</v>
      </c>
      <c r="AR14" s="169" t="s">
        <v>618</v>
      </c>
    </row>
    <row r="15" spans="1:44" ht="15" x14ac:dyDescent="0.3">
      <c r="A15" s="172"/>
      <c r="B15" s="172"/>
      <c r="C15" s="172"/>
      <c r="D15" s="172"/>
      <c r="E15" s="172"/>
      <c r="F15" s="175"/>
      <c r="G15" s="174"/>
      <c r="H15" s="176"/>
      <c r="I15" s="2"/>
      <c r="J15" s="170"/>
      <c r="K15" s="2"/>
      <c r="L15" s="170"/>
      <c r="M15" s="56" t="s">
        <v>15</v>
      </c>
      <c r="N15" s="56" t="s">
        <v>68</v>
      </c>
      <c r="O15" s="56">
        <v>3</v>
      </c>
      <c r="P15" s="70">
        <v>0.3</v>
      </c>
      <c r="Q15" s="70">
        <v>0</v>
      </c>
      <c r="R15" s="70">
        <v>1</v>
      </c>
      <c r="S15" s="171">
        <v>4.3</v>
      </c>
      <c r="T15" s="171">
        <v>8</v>
      </c>
      <c r="U15" s="70">
        <v>0</v>
      </c>
      <c r="V15" s="70">
        <v>5</v>
      </c>
      <c r="W15" s="70">
        <v>3</v>
      </c>
      <c r="X15" s="57">
        <v>2</v>
      </c>
      <c r="AA15" s="173" t="s">
        <v>15</v>
      </c>
      <c r="AB15" s="56" t="s">
        <v>68</v>
      </c>
      <c r="AC15" s="56" t="s">
        <v>626</v>
      </c>
      <c r="AD15" s="171">
        <v>190000</v>
      </c>
      <c r="AE15" s="173" t="s">
        <v>255</v>
      </c>
      <c r="AF15" s="56" t="s">
        <v>77</v>
      </c>
      <c r="AG15" s="368">
        <v>20</v>
      </c>
      <c r="AH15" s="56" t="s">
        <v>15</v>
      </c>
      <c r="AI15" s="56" t="s">
        <v>68</v>
      </c>
      <c r="AJ15" s="56" t="s">
        <v>25</v>
      </c>
      <c r="AK15" s="56">
        <v>3</v>
      </c>
      <c r="AL15" s="57">
        <v>0</v>
      </c>
      <c r="AM15" s="169"/>
      <c r="AN15" s="186"/>
      <c r="AO15" s="2"/>
      <c r="AP15" s="2"/>
      <c r="AQ15" s="173" t="s">
        <v>71</v>
      </c>
      <c r="AR15" s="56" t="s">
        <v>77</v>
      </c>
    </row>
    <row r="16" spans="1:44" ht="15" x14ac:dyDescent="0.3">
      <c r="A16" s="172"/>
      <c r="B16" s="172"/>
      <c r="C16" s="172"/>
      <c r="D16" s="172"/>
      <c r="E16" s="172"/>
      <c r="F16" s="175"/>
      <c r="G16" s="174"/>
      <c r="H16" s="176"/>
      <c r="I16" s="2"/>
      <c r="J16" s="170"/>
      <c r="K16" s="2"/>
      <c r="L16" s="170"/>
      <c r="M16" s="56" t="s">
        <v>15</v>
      </c>
      <c r="N16" s="56" t="s">
        <v>69</v>
      </c>
      <c r="O16" s="56">
        <v>3</v>
      </c>
      <c r="P16" s="70">
        <v>0.3</v>
      </c>
      <c r="Q16" s="70">
        <v>0</v>
      </c>
      <c r="R16" s="70">
        <v>1</v>
      </c>
      <c r="S16" s="171">
        <v>5.6</v>
      </c>
      <c r="T16" s="171">
        <v>10</v>
      </c>
      <c r="U16" s="70">
        <v>0</v>
      </c>
      <c r="V16" s="70">
        <v>2</v>
      </c>
      <c r="W16" s="70">
        <v>1</v>
      </c>
      <c r="X16" s="57">
        <v>1</v>
      </c>
      <c r="AA16" s="173" t="s">
        <v>15</v>
      </c>
      <c r="AB16" s="56" t="s">
        <v>69</v>
      </c>
      <c r="AC16" s="56" t="s">
        <v>626</v>
      </c>
      <c r="AD16" s="171">
        <v>14000</v>
      </c>
      <c r="AE16" s="173" t="s">
        <v>255</v>
      </c>
      <c r="AF16" s="366" t="s">
        <v>614</v>
      </c>
      <c r="AG16" s="368">
        <v>25</v>
      </c>
      <c r="AH16" s="56" t="s">
        <v>15</v>
      </c>
      <c r="AI16" s="56" t="s">
        <v>70</v>
      </c>
      <c r="AJ16" s="56" t="s">
        <v>26</v>
      </c>
      <c r="AK16" s="56">
        <v>3</v>
      </c>
      <c r="AL16" s="57">
        <v>30</v>
      </c>
      <c r="AM16" s="169"/>
      <c r="AN16" s="169"/>
      <c r="AO16" s="2"/>
      <c r="AP16" s="2"/>
      <c r="AQ16" s="173" t="s">
        <v>71</v>
      </c>
      <c r="AR16" s="366" t="s">
        <v>614</v>
      </c>
    </row>
    <row r="17" spans="1:44" ht="15" x14ac:dyDescent="0.3">
      <c r="A17" s="172"/>
      <c r="B17" s="172"/>
      <c r="C17" s="172"/>
      <c r="D17" s="172"/>
      <c r="E17" s="172"/>
      <c r="F17" s="175"/>
      <c r="G17" s="174"/>
      <c r="I17" s="2"/>
      <c r="J17" s="170"/>
      <c r="K17" s="2"/>
      <c r="L17" s="170"/>
      <c r="M17" s="56" t="s">
        <v>15</v>
      </c>
      <c r="N17" s="56" t="s">
        <v>70</v>
      </c>
      <c r="O17" s="56">
        <v>3</v>
      </c>
      <c r="P17" s="70">
        <v>0.3</v>
      </c>
      <c r="Q17" s="70">
        <v>0</v>
      </c>
      <c r="R17" s="70">
        <v>1</v>
      </c>
      <c r="S17" s="171">
        <v>5.0999999999999996</v>
      </c>
      <c r="T17" s="171">
        <v>9</v>
      </c>
      <c r="U17" s="70">
        <v>0</v>
      </c>
      <c r="V17" s="70">
        <v>2</v>
      </c>
      <c r="W17" s="70">
        <v>1</v>
      </c>
      <c r="X17" s="57">
        <v>1</v>
      </c>
      <c r="AA17" s="173" t="s">
        <v>15</v>
      </c>
      <c r="AB17" s="56" t="s">
        <v>70</v>
      </c>
      <c r="AC17" s="56" t="s">
        <v>626</v>
      </c>
      <c r="AD17" s="171">
        <v>10000</v>
      </c>
      <c r="AE17" s="173" t="s">
        <v>255</v>
      </c>
      <c r="AF17" s="186" t="s">
        <v>112</v>
      </c>
      <c r="AG17" s="331">
        <v>34</v>
      </c>
      <c r="AH17" s="56" t="s">
        <v>15</v>
      </c>
      <c r="AI17" s="56" t="s">
        <v>70</v>
      </c>
      <c r="AJ17" s="56" t="s">
        <v>625</v>
      </c>
      <c r="AK17" s="56">
        <v>3</v>
      </c>
      <c r="AL17" s="57">
        <v>200</v>
      </c>
      <c r="AM17" s="169"/>
      <c r="AN17" s="169"/>
      <c r="AO17" s="2"/>
      <c r="AP17" s="2"/>
      <c r="AQ17" s="173" t="s">
        <v>71</v>
      </c>
      <c r="AR17" s="186" t="s">
        <v>112</v>
      </c>
    </row>
    <row r="18" spans="1:44" ht="15" x14ac:dyDescent="0.3">
      <c r="A18" s="172"/>
      <c r="B18" s="172"/>
      <c r="C18" s="172"/>
      <c r="D18" s="172"/>
      <c r="E18" s="172"/>
      <c r="F18" s="169"/>
      <c r="G18" s="169"/>
      <c r="H18" s="170"/>
      <c r="I18" s="2"/>
      <c r="J18" s="170"/>
      <c r="K18" s="2"/>
      <c r="L18" s="170"/>
      <c r="M18" s="56" t="s">
        <v>15</v>
      </c>
      <c r="N18" s="56" t="s">
        <v>71</v>
      </c>
      <c r="O18" s="56">
        <v>3</v>
      </c>
      <c r="P18" s="70">
        <v>0.3</v>
      </c>
      <c r="Q18" s="70">
        <v>0</v>
      </c>
      <c r="R18" s="70">
        <v>1</v>
      </c>
      <c r="S18" s="171">
        <v>5.6</v>
      </c>
      <c r="T18" s="171">
        <v>9.5</v>
      </c>
      <c r="U18" s="70">
        <v>0</v>
      </c>
      <c r="V18" s="70">
        <v>3</v>
      </c>
      <c r="W18" s="70">
        <v>2</v>
      </c>
      <c r="X18" s="57">
        <v>1</v>
      </c>
      <c r="AA18" s="173" t="s">
        <v>15</v>
      </c>
      <c r="AB18" s="56" t="s">
        <v>71</v>
      </c>
      <c r="AC18" s="56" t="s">
        <v>626</v>
      </c>
      <c r="AD18" s="171">
        <v>10000</v>
      </c>
      <c r="AE18" s="173" t="s">
        <v>255</v>
      </c>
      <c r="AF18" s="169" t="s">
        <v>607</v>
      </c>
      <c r="AG18" s="331">
        <f t="shared" ref="AG18" si="2">70000*100/40000</f>
        <v>175</v>
      </c>
      <c r="AH18" s="56" t="s">
        <v>15</v>
      </c>
      <c r="AI18" s="56" t="s">
        <v>69</v>
      </c>
      <c r="AJ18" s="56" t="s">
        <v>27</v>
      </c>
      <c r="AK18" s="56">
        <v>3</v>
      </c>
      <c r="AL18" s="57">
        <v>0</v>
      </c>
      <c r="AM18" s="169"/>
      <c r="AN18" s="60"/>
      <c r="AO18" s="2"/>
      <c r="AP18" s="2"/>
      <c r="AQ18" s="173" t="s">
        <v>71</v>
      </c>
      <c r="AR18" s="169" t="s">
        <v>607</v>
      </c>
    </row>
    <row r="19" spans="1:44" ht="15" x14ac:dyDescent="0.3">
      <c r="A19" s="172"/>
      <c r="B19" s="172"/>
      <c r="C19" s="172"/>
      <c r="D19" s="172"/>
      <c r="E19" s="172"/>
      <c r="F19" s="169"/>
      <c r="G19" s="169"/>
      <c r="H19" s="170"/>
      <c r="I19" s="2"/>
      <c r="J19" s="170"/>
      <c r="K19" s="2"/>
      <c r="L19" s="170"/>
      <c r="M19" s="56" t="s">
        <v>15</v>
      </c>
      <c r="N19" s="56" t="s">
        <v>67</v>
      </c>
      <c r="O19" s="56">
        <v>3</v>
      </c>
      <c r="P19" s="70">
        <v>0.3</v>
      </c>
      <c r="Q19" s="70">
        <v>0</v>
      </c>
      <c r="R19" s="70">
        <v>1</v>
      </c>
      <c r="S19" s="171">
        <v>3.7</v>
      </c>
      <c r="T19" s="171">
        <v>7</v>
      </c>
      <c r="U19" s="134">
        <v>5</v>
      </c>
      <c r="V19" s="70">
        <v>10</v>
      </c>
      <c r="W19" s="70">
        <v>5</v>
      </c>
      <c r="X19" s="57">
        <v>5</v>
      </c>
      <c r="AA19" s="173" t="s">
        <v>15</v>
      </c>
      <c r="AB19" s="56" t="s">
        <v>67</v>
      </c>
      <c r="AC19" s="56" t="s">
        <v>626</v>
      </c>
      <c r="AD19" s="171">
        <v>20000</v>
      </c>
      <c r="AE19" s="173" t="s">
        <v>255</v>
      </c>
      <c r="AF19" s="169" t="s">
        <v>618</v>
      </c>
      <c r="AG19" s="331">
        <v>85</v>
      </c>
      <c r="AH19" s="56" t="s">
        <v>15</v>
      </c>
      <c r="AI19" s="56" t="s">
        <v>67</v>
      </c>
      <c r="AJ19" s="56" t="s">
        <v>28</v>
      </c>
      <c r="AK19" s="56">
        <v>3</v>
      </c>
      <c r="AL19" s="57">
        <v>3000</v>
      </c>
      <c r="AM19" s="169"/>
      <c r="AN19" s="2"/>
      <c r="AO19" s="2"/>
      <c r="AP19" s="2"/>
      <c r="AQ19" s="173" t="s">
        <v>71</v>
      </c>
      <c r="AR19" s="169" t="s">
        <v>618</v>
      </c>
    </row>
    <row r="20" spans="1:44" ht="15" x14ac:dyDescent="0.3">
      <c r="A20" s="172"/>
      <c r="B20" s="172"/>
      <c r="C20" s="172"/>
      <c r="D20" s="172"/>
      <c r="E20" s="172"/>
      <c r="F20" s="169"/>
      <c r="G20" s="169"/>
      <c r="H20" s="170"/>
      <c r="I20" s="2"/>
      <c r="J20" s="170"/>
      <c r="K20" s="2"/>
      <c r="L20" s="170"/>
      <c r="M20" s="56" t="s">
        <v>15</v>
      </c>
      <c r="N20" s="56" t="s">
        <v>68</v>
      </c>
      <c r="O20" s="56">
        <v>4</v>
      </c>
      <c r="P20" s="70">
        <v>0.3</v>
      </c>
      <c r="Q20" s="70">
        <v>0</v>
      </c>
      <c r="R20" s="70">
        <v>1</v>
      </c>
      <c r="S20" s="171">
        <v>4.2</v>
      </c>
      <c r="T20" s="171">
        <v>8</v>
      </c>
      <c r="U20" s="134">
        <v>5</v>
      </c>
      <c r="V20" s="70">
        <v>5</v>
      </c>
      <c r="W20" s="70">
        <v>3</v>
      </c>
      <c r="X20" s="57">
        <v>2</v>
      </c>
      <c r="AA20" s="173" t="s">
        <v>256</v>
      </c>
      <c r="AB20" s="56" t="s">
        <v>68</v>
      </c>
      <c r="AC20" s="56" t="s">
        <v>86</v>
      </c>
      <c r="AD20" s="369">
        <v>20</v>
      </c>
      <c r="AE20" s="173" t="s">
        <v>588</v>
      </c>
      <c r="AF20" s="56" t="s">
        <v>77</v>
      </c>
      <c r="AG20" s="368">
        <v>20</v>
      </c>
      <c r="AH20" s="56" t="s">
        <v>15</v>
      </c>
      <c r="AI20" s="56" t="s">
        <v>68</v>
      </c>
      <c r="AJ20" s="56" t="s">
        <v>25</v>
      </c>
      <c r="AK20" s="56">
        <v>4</v>
      </c>
      <c r="AL20" s="57">
        <v>0</v>
      </c>
      <c r="AM20" s="169"/>
      <c r="AN20" s="2"/>
      <c r="AO20" s="2"/>
      <c r="AP20" s="2"/>
      <c r="AQ20" s="173" t="s">
        <v>69</v>
      </c>
      <c r="AR20" s="56" t="s">
        <v>77</v>
      </c>
    </row>
    <row r="21" spans="1:44" ht="15" x14ac:dyDescent="0.3">
      <c r="A21" s="172"/>
      <c r="B21" s="172"/>
      <c r="C21" s="172"/>
      <c r="D21" s="172"/>
      <c r="E21" s="172"/>
      <c r="F21" s="169"/>
      <c r="G21" s="169"/>
      <c r="H21" s="170"/>
      <c r="I21" s="2"/>
      <c r="J21" s="170"/>
      <c r="K21" s="2"/>
      <c r="L21" s="170"/>
      <c r="M21" s="56" t="s">
        <v>15</v>
      </c>
      <c r="N21" s="56" t="s">
        <v>69</v>
      </c>
      <c r="O21" s="56">
        <v>4</v>
      </c>
      <c r="P21" s="70">
        <v>0.3</v>
      </c>
      <c r="Q21" s="70">
        <v>0</v>
      </c>
      <c r="R21" s="70">
        <v>1</v>
      </c>
      <c r="S21" s="171">
        <v>5.5</v>
      </c>
      <c r="T21" s="171">
        <v>10</v>
      </c>
      <c r="U21" s="134">
        <v>2</v>
      </c>
      <c r="V21" s="70">
        <v>2</v>
      </c>
      <c r="W21" s="70">
        <v>1</v>
      </c>
      <c r="X21" s="57">
        <v>1</v>
      </c>
      <c r="AA21" s="173" t="s">
        <v>256</v>
      </c>
      <c r="AB21" s="56" t="s">
        <v>69</v>
      </c>
      <c r="AC21" s="56" t="s">
        <v>86</v>
      </c>
      <c r="AD21" s="369">
        <v>20</v>
      </c>
      <c r="AE21" s="173" t="s">
        <v>588</v>
      </c>
      <c r="AF21" s="366" t="s">
        <v>614</v>
      </c>
      <c r="AG21" s="368">
        <v>25</v>
      </c>
      <c r="AH21" s="56" t="s">
        <v>15</v>
      </c>
      <c r="AI21" s="56" t="s">
        <v>70</v>
      </c>
      <c r="AJ21" s="56" t="s">
        <v>26</v>
      </c>
      <c r="AK21" s="56">
        <v>4</v>
      </c>
      <c r="AL21" s="57">
        <v>0</v>
      </c>
      <c r="AM21" s="169"/>
      <c r="AN21" s="2"/>
      <c r="AO21" s="2"/>
      <c r="AP21" s="2"/>
      <c r="AQ21" s="173" t="s">
        <v>69</v>
      </c>
      <c r="AR21" s="366" t="s">
        <v>614</v>
      </c>
    </row>
    <row r="22" spans="1:44" ht="15" x14ac:dyDescent="0.3">
      <c r="A22" s="172"/>
      <c r="B22" s="172"/>
      <c r="C22" s="172"/>
      <c r="D22" s="172"/>
      <c r="E22" s="172"/>
      <c r="F22" s="169"/>
      <c r="G22" s="169"/>
      <c r="H22" s="170"/>
      <c r="I22" s="2"/>
      <c r="J22" s="170"/>
      <c r="K22" s="2"/>
      <c r="L22" s="170"/>
      <c r="M22" s="56" t="s">
        <v>15</v>
      </c>
      <c r="N22" s="56" t="s">
        <v>70</v>
      </c>
      <c r="O22" s="56">
        <v>4</v>
      </c>
      <c r="P22" s="70">
        <v>0.3</v>
      </c>
      <c r="Q22" s="70">
        <v>0</v>
      </c>
      <c r="R22" s="70">
        <v>1</v>
      </c>
      <c r="S22" s="171">
        <v>5</v>
      </c>
      <c r="T22" s="171">
        <v>9</v>
      </c>
      <c r="U22" s="134">
        <v>1</v>
      </c>
      <c r="V22" s="70">
        <v>2</v>
      </c>
      <c r="W22" s="70">
        <v>1</v>
      </c>
      <c r="X22" s="57">
        <v>1</v>
      </c>
      <c r="AA22" s="173" t="s">
        <v>256</v>
      </c>
      <c r="AB22" s="56" t="s">
        <v>70</v>
      </c>
      <c r="AC22" s="56" t="s">
        <v>86</v>
      </c>
      <c r="AD22" s="369">
        <v>20</v>
      </c>
      <c r="AE22" s="173" t="s">
        <v>588</v>
      </c>
      <c r="AF22" s="186" t="s">
        <v>112</v>
      </c>
      <c r="AG22" s="331">
        <v>34</v>
      </c>
      <c r="AH22" s="56" t="s">
        <v>15</v>
      </c>
      <c r="AI22" s="56" t="s">
        <v>70</v>
      </c>
      <c r="AJ22" s="56" t="s">
        <v>625</v>
      </c>
      <c r="AK22" s="56">
        <v>4</v>
      </c>
      <c r="AL22" s="57">
        <v>200</v>
      </c>
      <c r="AM22" s="169"/>
      <c r="AN22" s="2"/>
      <c r="AO22" s="2"/>
      <c r="AP22" s="2"/>
      <c r="AQ22" s="173" t="s">
        <v>69</v>
      </c>
      <c r="AR22" s="186" t="s">
        <v>112</v>
      </c>
    </row>
    <row r="23" spans="1:44" ht="15" x14ac:dyDescent="0.3">
      <c r="A23" s="172"/>
      <c r="B23" s="172"/>
      <c r="C23" s="172"/>
      <c r="D23" s="172"/>
      <c r="E23" s="172"/>
      <c r="F23" s="169"/>
      <c r="G23" s="169"/>
      <c r="H23" s="170"/>
      <c r="I23" s="2"/>
      <c r="J23" s="170"/>
      <c r="K23" s="2"/>
      <c r="L23" s="170"/>
      <c r="M23" s="56" t="s">
        <v>15</v>
      </c>
      <c r="N23" s="56" t="s">
        <v>71</v>
      </c>
      <c r="O23" s="56">
        <v>4</v>
      </c>
      <c r="P23" s="70">
        <v>0.3</v>
      </c>
      <c r="Q23" s="70">
        <v>0</v>
      </c>
      <c r="R23" s="70">
        <v>1</v>
      </c>
      <c r="S23" s="171">
        <v>5.5</v>
      </c>
      <c r="T23" s="171">
        <v>9.5</v>
      </c>
      <c r="U23" s="70">
        <v>0</v>
      </c>
      <c r="V23" s="70">
        <v>3</v>
      </c>
      <c r="W23" s="70">
        <v>2</v>
      </c>
      <c r="X23" s="57">
        <v>1</v>
      </c>
      <c r="AA23" s="173" t="s">
        <v>256</v>
      </c>
      <c r="AB23" s="56" t="s">
        <v>71</v>
      </c>
      <c r="AC23" s="56" t="s">
        <v>86</v>
      </c>
      <c r="AD23" s="369">
        <v>20</v>
      </c>
      <c r="AE23" s="173" t="s">
        <v>588</v>
      </c>
      <c r="AF23" s="169" t="s">
        <v>607</v>
      </c>
      <c r="AG23" s="331">
        <f t="shared" ref="AG23" si="3">70000*100/40000</f>
        <v>175</v>
      </c>
      <c r="AH23" s="56" t="s">
        <v>15</v>
      </c>
      <c r="AI23" s="56" t="s">
        <v>69</v>
      </c>
      <c r="AJ23" s="56" t="s">
        <v>27</v>
      </c>
      <c r="AK23" s="56">
        <v>4</v>
      </c>
      <c r="AL23" s="57">
        <v>0</v>
      </c>
      <c r="AM23" s="169"/>
      <c r="AN23" s="2"/>
      <c r="AO23" s="2"/>
      <c r="AP23" s="2"/>
      <c r="AQ23" s="173" t="s">
        <v>69</v>
      </c>
      <c r="AR23" s="169" t="s">
        <v>607</v>
      </c>
    </row>
    <row r="24" spans="1:44" ht="15" x14ac:dyDescent="0.3">
      <c r="A24" s="172"/>
      <c r="B24" s="172"/>
      <c r="C24" s="172"/>
      <c r="D24" s="172"/>
      <c r="E24" s="172"/>
      <c r="F24" s="169"/>
      <c r="G24" s="169"/>
      <c r="H24" s="170"/>
      <c r="I24" s="2"/>
      <c r="J24" s="170"/>
      <c r="K24" s="2"/>
      <c r="L24" s="170"/>
      <c r="M24" s="56" t="s">
        <v>15</v>
      </c>
      <c r="N24" s="56" t="s">
        <v>67</v>
      </c>
      <c r="O24" s="56">
        <v>4</v>
      </c>
      <c r="P24" s="70">
        <v>0.3</v>
      </c>
      <c r="Q24" s="70">
        <v>0</v>
      </c>
      <c r="R24" s="70">
        <v>1</v>
      </c>
      <c r="S24" s="171">
        <v>3.6</v>
      </c>
      <c r="T24" s="171">
        <v>7</v>
      </c>
      <c r="U24" s="70">
        <v>0</v>
      </c>
      <c r="V24" s="70">
        <v>10</v>
      </c>
      <c r="W24" s="70">
        <v>5</v>
      </c>
      <c r="X24" s="57">
        <v>5</v>
      </c>
      <c r="AA24" s="173" t="s">
        <v>256</v>
      </c>
      <c r="AB24" s="56" t="s">
        <v>67</v>
      </c>
      <c r="AC24" s="56" t="s">
        <v>86</v>
      </c>
      <c r="AD24" s="369">
        <v>20</v>
      </c>
      <c r="AE24" s="173" t="s">
        <v>588</v>
      </c>
      <c r="AF24" s="169" t="s">
        <v>618</v>
      </c>
      <c r="AG24" s="331">
        <v>85</v>
      </c>
      <c r="AH24" s="56" t="s">
        <v>15</v>
      </c>
      <c r="AI24" s="56" t="s">
        <v>67</v>
      </c>
      <c r="AJ24" s="56" t="s">
        <v>28</v>
      </c>
      <c r="AK24" s="56">
        <v>4</v>
      </c>
      <c r="AL24" s="57">
        <v>3000</v>
      </c>
      <c r="AM24" s="169"/>
      <c r="AN24" s="2"/>
      <c r="AO24" s="2"/>
      <c r="AP24" s="2"/>
      <c r="AQ24" s="173" t="s">
        <v>69</v>
      </c>
      <c r="AR24" s="169" t="s">
        <v>618</v>
      </c>
    </row>
    <row r="25" spans="1:44" ht="15" x14ac:dyDescent="0.3">
      <c r="A25" s="172"/>
      <c r="B25" s="172"/>
      <c r="C25" s="172"/>
      <c r="D25" s="172"/>
      <c r="E25" s="172"/>
      <c r="F25" s="169"/>
      <c r="G25" s="169"/>
      <c r="H25" s="170"/>
      <c r="I25" s="2"/>
      <c r="J25" s="170"/>
      <c r="K25" s="2"/>
      <c r="L25" s="170"/>
      <c r="M25" s="56" t="s">
        <v>15</v>
      </c>
      <c r="N25" s="56" t="s">
        <v>68</v>
      </c>
      <c r="O25" s="56">
        <v>5</v>
      </c>
      <c r="P25" s="70">
        <v>0.3</v>
      </c>
      <c r="Q25" s="70">
        <v>0</v>
      </c>
      <c r="R25" s="70">
        <v>1</v>
      </c>
      <c r="S25" s="171">
        <v>4.0999999999999996</v>
      </c>
      <c r="T25" s="171">
        <v>8</v>
      </c>
      <c r="U25" s="70">
        <v>0</v>
      </c>
      <c r="V25" s="70">
        <v>5</v>
      </c>
      <c r="W25" s="70">
        <v>3</v>
      </c>
      <c r="X25" s="57">
        <v>2</v>
      </c>
      <c r="AA25" s="173" t="s">
        <v>256</v>
      </c>
      <c r="AB25" s="56" t="s">
        <v>68</v>
      </c>
      <c r="AC25" s="56" t="s">
        <v>25</v>
      </c>
      <c r="AD25" s="171">
        <v>1300</v>
      </c>
      <c r="AE25" s="169"/>
      <c r="AF25" s="2"/>
      <c r="AG25" s="170"/>
      <c r="AH25" s="56" t="s">
        <v>15</v>
      </c>
      <c r="AI25" s="56" t="s">
        <v>68</v>
      </c>
      <c r="AJ25" s="56" t="s">
        <v>25</v>
      </c>
      <c r="AK25" s="56">
        <v>5</v>
      </c>
      <c r="AL25" s="57">
        <v>0</v>
      </c>
      <c r="AM25" s="169"/>
      <c r="AN25" s="2"/>
      <c r="AO25" s="2"/>
      <c r="AP25" s="2"/>
      <c r="AQ25" s="173" t="s">
        <v>67</v>
      </c>
      <c r="AR25" s="56" t="s">
        <v>77</v>
      </c>
    </row>
    <row r="26" spans="1:44" ht="15" x14ac:dyDescent="0.3">
      <c r="A26" s="172"/>
      <c r="B26" s="172"/>
      <c r="C26" s="172"/>
      <c r="D26" s="172"/>
      <c r="E26" s="172"/>
      <c r="F26" s="169"/>
      <c r="G26" s="169"/>
      <c r="H26" s="170"/>
      <c r="I26" s="2"/>
      <c r="J26" s="170"/>
      <c r="K26" s="2"/>
      <c r="L26" s="170"/>
      <c r="M26" s="56" t="s">
        <v>15</v>
      </c>
      <c r="N26" s="56" t="s">
        <v>69</v>
      </c>
      <c r="O26" s="56">
        <v>5</v>
      </c>
      <c r="P26" s="70">
        <v>0.3</v>
      </c>
      <c r="Q26" s="70">
        <v>0</v>
      </c>
      <c r="R26" s="70">
        <v>1</v>
      </c>
      <c r="S26" s="171">
        <v>5.4</v>
      </c>
      <c r="T26" s="171">
        <v>10</v>
      </c>
      <c r="U26" s="70">
        <v>0</v>
      </c>
      <c r="V26" s="70">
        <v>2</v>
      </c>
      <c r="W26" s="70">
        <v>1</v>
      </c>
      <c r="X26" s="57">
        <v>1</v>
      </c>
      <c r="AA26" s="173" t="s">
        <v>256</v>
      </c>
      <c r="AB26" s="56" t="s">
        <v>70</v>
      </c>
      <c r="AC26" s="56" t="s">
        <v>26</v>
      </c>
      <c r="AD26" s="171">
        <v>1200</v>
      </c>
      <c r="AE26" s="169"/>
      <c r="AF26" s="2"/>
      <c r="AG26" s="170"/>
      <c r="AH26" s="56" t="s">
        <v>15</v>
      </c>
      <c r="AI26" s="56" t="s">
        <v>70</v>
      </c>
      <c r="AJ26" s="56" t="s">
        <v>26</v>
      </c>
      <c r="AK26" s="56">
        <v>5</v>
      </c>
      <c r="AL26" s="57">
        <v>0</v>
      </c>
      <c r="AM26" s="169"/>
      <c r="AN26" s="2"/>
      <c r="AO26" s="2"/>
      <c r="AP26" s="2"/>
      <c r="AQ26" s="173" t="s">
        <v>67</v>
      </c>
      <c r="AR26" s="366" t="s">
        <v>614</v>
      </c>
    </row>
    <row r="27" spans="1:44" ht="15" x14ac:dyDescent="0.3">
      <c r="A27" s="172"/>
      <c r="B27" s="172"/>
      <c r="C27" s="172"/>
      <c r="D27" s="172"/>
      <c r="E27" s="172"/>
      <c r="F27" s="169"/>
      <c r="G27" s="169"/>
      <c r="H27" s="170"/>
      <c r="I27" s="2"/>
      <c r="J27" s="170"/>
      <c r="K27" s="2"/>
      <c r="L27" s="170"/>
      <c r="M27" s="56" t="s">
        <v>15</v>
      </c>
      <c r="N27" s="56" t="s">
        <v>70</v>
      </c>
      <c r="O27" s="56">
        <v>5</v>
      </c>
      <c r="P27" s="70">
        <v>0.3</v>
      </c>
      <c r="Q27" s="70">
        <v>0</v>
      </c>
      <c r="R27" s="70">
        <v>1</v>
      </c>
      <c r="S27" s="171">
        <v>4.9000000000000004</v>
      </c>
      <c r="T27" s="171">
        <v>9</v>
      </c>
      <c r="U27" s="70">
        <v>0</v>
      </c>
      <c r="V27" s="70">
        <v>2</v>
      </c>
      <c r="W27" s="70">
        <v>1</v>
      </c>
      <c r="X27" s="57">
        <v>1</v>
      </c>
      <c r="AA27" s="173" t="s">
        <v>256</v>
      </c>
      <c r="AB27" s="56" t="s">
        <v>71</v>
      </c>
      <c r="AC27" s="56" t="s">
        <v>625</v>
      </c>
      <c r="AD27" s="372">
        <v>150</v>
      </c>
      <c r="AE27" s="169"/>
      <c r="AF27" s="2"/>
      <c r="AG27" s="170"/>
      <c r="AH27" s="56" t="s">
        <v>15</v>
      </c>
      <c r="AI27" s="56" t="s">
        <v>70</v>
      </c>
      <c r="AJ27" s="56" t="s">
        <v>625</v>
      </c>
      <c r="AK27" s="56">
        <v>5</v>
      </c>
      <c r="AL27" s="57">
        <v>200</v>
      </c>
      <c r="AM27" s="169"/>
      <c r="AN27" s="2"/>
      <c r="AO27" s="2"/>
      <c r="AP27" s="2"/>
      <c r="AQ27" s="173" t="s">
        <v>67</v>
      </c>
      <c r="AR27" s="186" t="s">
        <v>112</v>
      </c>
    </row>
    <row r="28" spans="1:44" ht="15" x14ac:dyDescent="0.3">
      <c r="A28" s="172"/>
      <c r="B28" s="172"/>
      <c r="C28" s="172"/>
      <c r="D28" s="172"/>
      <c r="E28" s="172"/>
      <c r="F28" s="169"/>
      <c r="G28" s="169"/>
      <c r="H28" s="170"/>
      <c r="I28" s="2"/>
      <c r="J28" s="170"/>
      <c r="K28" s="2"/>
      <c r="L28" s="170"/>
      <c r="M28" s="56" t="s">
        <v>15</v>
      </c>
      <c r="N28" s="56" t="s">
        <v>71</v>
      </c>
      <c r="O28" s="56">
        <v>5</v>
      </c>
      <c r="P28" s="70">
        <v>0.3</v>
      </c>
      <c r="Q28" s="70">
        <v>0</v>
      </c>
      <c r="R28" s="70">
        <v>1</v>
      </c>
      <c r="S28" s="171">
        <v>5.4</v>
      </c>
      <c r="T28" s="171">
        <v>9.5</v>
      </c>
      <c r="U28" s="70">
        <v>0</v>
      </c>
      <c r="V28" s="70">
        <v>3</v>
      </c>
      <c r="W28" s="70">
        <v>2</v>
      </c>
      <c r="X28" s="57">
        <v>1</v>
      </c>
      <c r="AA28" s="173" t="s">
        <v>256</v>
      </c>
      <c r="AB28" s="56" t="s">
        <v>69</v>
      </c>
      <c r="AC28" s="56" t="s">
        <v>27</v>
      </c>
      <c r="AD28" s="171">
        <v>1800</v>
      </c>
      <c r="AE28" s="169"/>
      <c r="AF28" s="2"/>
      <c r="AG28" s="170"/>
      <c r="AH28" s="56" t="s">
        <v>15</v>
      </c>
      <c r="AI28" s="56" t="s">
        <v>69</v>
      </c>
      <c r="AJ28" s="56" t="s">
        <v>27</v>
      </c>
      <c r="AK28" s="56">
        <v>5</v>
      </c>
      <c r="AL28" s="57">
        <v>0</v>
      </c>
      <c r="AM28" s="169"/>
      <c r="AN28" s="2"/>
      <c r="AO28" s="2"/>
      <c r="AP28" s="2"/>
      <c r="AQ28" s="173" t="s">
        <v>67</v>
      </c>
      <c r="AR28" s="169" t="s">
        <v>607</v>
      </c>
    </row>
    <row r="29" spans="1:44" ht="15" x14ac:dyDescent="0.3">
      <c r="A29" s="172"/>
      <c r="B29" s="172"/>
      <c r="C29" s="172"/>
      <c r="D29" s="172"/>
      <c r="E29" s="172"/>
      <c r="F29" s="169"/>
      <c r="G29" s="169"/>
      <c r="H29" s="170"/>
      <c r="I29" s="2"/>
      <c r="J29" s="170"/>
      <c r="K29" s="2"/>
      <c r="L29" s="170"/>
      <c r="M29" s="56" t="s">
        <v>15</v>
      </c>
      <c r="N29" s="56" t="s">
        <v>67</v>
      </c>
      <c r="O29" s="56">
        <v>5</v>
      </c>
      <c r="P29" s="70">
        <v>0.3</v>
      </c>
      <c r="Q29" s="70">
        <v>0</v>
      </c>
      <c r="R29" s="70">
        <v>1</v>
      </c>
      <c r="S29" s="171">
        <v>3.5</v>
      </c>
      <c r="T29" s="171">
        <v>7</v>
      </c>
      <c r="U29" s="70">
        <v>0</v>
      </c>
      <c r="V29" s="70">
        <v>10</v>
      </c>
      <c r="W29" s="70">
        <v>5</v>
      </c>
      <c r="X29" s="57">
        <v>5</v>
      </c>
      <c r="AA29" s="173" t="s">
        <v>256</v>
      </c>
      <c r="AB29" s="56" t="s">
        <v>67</v>
      </c>
      <c r="AC29" s="56" t="s">
        <v>28</v>
      </c>
      <c r="AD29" s="372">
        <v>65</v>
      </c>
      <c r="AE29" s="169"/>
      <c r="AF29" s="2"/>
      <c r="AG29" s="170"/>
      <c r="AH29" s="56" t="s">
        <v>15</v>
      </c>
      <c r="AI29" s="56" t="s">
        <v>67</v>
      </c>
      <c r="AJ29" s="56" t="s">
        <v>28</v>
      </c>
      <c r="AK29" s="56">
        <v>5</v>
      </c>
      <c r="AL29" s="57">
        <v>3000</v>
      </c>
      <c r="AM29" s="169"/>
      <c r="AN29" s="2"/>
      <c r="AO29" s="2"/>
      <c r="AP29" s="2"/>
      <c r="AQ29" s="173" t="s">
        <v>67</v>
      </c>
      <c r="AR29" s="169" t="s">
        <v>618</v>
      </c>
    </row>
    <row r="30" spans="1:44" ht="15.6" x14ac:dyDescent="0.3">
      <c r="A30" s="172"/>
      <c r="B30" s="172"/>
      <c r="C30" s="172"/>
      <c r="D30" s="172"/>
      <c r="E30" s="172"/>
      <c r="F30" s="169"/>
      <c r="G30" s="169"/>
      <c r="H30" s="170"/>
      <c r="I30" s="2"/>
      <c r="J30" s="170"/>
      <c r="K30" s="2"/>
      <c r="L30" s="170"/>
      <c r="M30" s="56" t="s">
        <v>15</v>
      </c>
      <c r="N30" s="56" t="s">
        <v>68</v>
      </c>
      <c r="O30" s="56">
        <v>6</v>
      </c>
      <c r="P30" s="70">
        <v>0.3</v>
      </c>
      <c r="Q30" s="70">
        <v>0</v>
      </c>
      <c r="R30" s="70">
        <v>1</v>
      </c>
      <c r="S30" s="171">
        <v>4</v>
      </c>
      <c r="T30" s="171">
        <v>8</v>
      </c>
      <c r="U30" s="70">
        <v>0</v>
      </c>
      <c r="V30" s="70">
        <v>5</v>
      </c>
      <c r="W30" s="70">
        <v>3</v>
      </c>
      <c r="X30" s="57">
        <v>2</v>
      </c>
      <c r="AA30" s="173" t="s">
        <v>256</v>
      </c>
      <c r="AB30" s="56" t="s">
        <v>68</v>
      </c>
      <c r="AC30" s="56" t="s">
        <v>626</v>
      </c>
      <c r="AD30" s="171">
        <v>190000</v>
      </c>
      <c r="AE30" s="169"/>
      <c r="AF30" s="2"/>
      <c r="AG30" s="170"/>
      <c r="AH30" s="56" t="s">
        <v>15</v>
      </c>
      <c r="AI30" s="56" t="s">
        <v>68</v>
      </c>
      <c r="AJ30" s="56" t="s">
        <v>25</v>
      </c>
      <c r="AK30" s="56">
        <v>6</v>
      </c>
      <c r="AL30" s="57">
        <v>300</v>
      </c>
      <c r="AM30" s="169"/>
      <c r="AN30" s="2"/>
      <c r="AO30" s="2"/>
      <c r="AP30" s="2"/>
      <c r="AQ30" s="168"/>
      <c r="AR30" s="167"/>
    </row>
    <row r="31" spans="1:44" ht="15.6" x14ac:dyDescent="0.3">
      <c r="A31" s="172"/>
      <c r="B31" s="172"/>
      <c r="C31" s="172"/>
      <c r="D31" s="172"/>
      <c r="E31" s="172"/>
      <c r="F31" s="169"/>
      <c r="G31" s="169"/>
      <c r="H31" s="170"/>
      <c r="I31" s="2"/>
      <c r="J31" s="170"/>
      <c r="K31" s="2"/>
      <c r="L31" s="170"/>
      <c r="M31" s="56" t="s">
        <v>15</v>
      </c>
      <c r="N31" s="56" t="s">
        <v>69</v>
      </c>
      <c r="O31" s="56">
        <v>6</v>
      </c>
      <c r="P31" s="70">
        <v>0.3</v>
      </c>
      <c r="Q31" s="70">
        <v>0</v>
      </c>
      <c r="R31" s="70">
        <v>1</v>
      </c>
      <c r="S31" s="171">
        <v>5.3</v>
      </c>
      <c r="T31" s="171">
        <v>10</v>
      </c>
      <c r="U31" s="70">
        <v>0</v>
      </c>
      <c r="V31" s="70">
        <v>2</v>
      </c>
      <c r="W31" s="70">
        <v>1</v>
      </c>
      <c r="X31" s="57">
        <v>1</v>
      </c>
      <c r="AA31" s="173" t="s">
        <v>256</v>
      </c>
      <c r="AB31" s="56" t="s">
        <v>69</v>
      </c>
      <c r="AC31" s="56" t="s">
        <v>626</v>
      </c>
      <c r="AD31" s="171">
        <v>14000</v>
      </c>
      <c r="AE31" s="169"/>
      <c r="AF31" s="2"/>
      <c r="AG31" s="170"/>
      <c r="AH31" s="56" t="s">
        <v>15</v>
      </c>
      <c r="AI31" s="56" t="s">
        <v>70</v>
      </c>
      <c r="AJ31" s="56" t="s">
        <v>26</v>
      </c>
      <c r="AK31" s="56">
        <v>6</v>
      </c>
      <c r="AL31" s="57">
        <v>30</v>
      </c>
      <c r="AM31" s="169"/>
      <c r="AN31" s="2"/>
      <c r="AO31" s="2"/>
      <c r="AP31" s="2"/>
      <c r="AQ31" s="168"/>
      <c r="AR31" s="167"/>
    </row>
    <row r="32" spans="1:44" ht="15.6" x14ac:dyDescent="0.3">
      <c r="A32" s="172"/>
      <c r="B32" s="172"/>
      <c r="C32" s="172"/>
      <c r="D32" s="172"/>
      <c r="E32" s="172"/>
      <c r="F32" s="169"/>
      <c r="G32" s="169"/>
      <c r="H32" s="170"/>
      <c r="I32" s="2"/>
      <c r="J32" s="170"/>
      <c r="K32" s="2"/>
      <c r="L32" s="170"/>
      <c r="M32" s="56" t="s">
        <v>15</v>
      </c>
      <c r="N32" s="56" t="s">
        <v>70</v>
      </c>
      <c r="O32" s="56">
        <v>6</v>
      </c>
      <c r="P32" s="70">
        <v>0.3</v>
      </c>
      <c r="Q32" s="70">
        <v>0</v>
      </c>
      <c r="R32" s="70">
        <v>1</v>
      </c>
      <c r="S32" s="171">
        <v>4.8</v>
      </c>
      <c r="T32" s="171">
        <v>9</v>
      </c>
      <c r="U32" s="70">
        <v>0</v>
      </c>
      <c r="V32" s="70">
        <v>2</v>
      </c>
      <c r="W32" s="70">
        <v>1</v>
      </c>
      <c r="X32" s="57">
        <v>1</v>
      </c>
      <c r="AA32" s="173" t="s">
        <v>256</v>
      </c>
      <c r="AB32" s="56" t="s">
        <v>70</v>
      </c>
      <c r="AC32" s="56" t="s">
        <v>626</v>
      </c>
      <c r="AD32" s="171">
        <v>10000</v>
      </c>
      <c r="AE32" s="169"/>
      <c r="AF32" s="2"/>
      <c r="AG32" s="170"/>
      <c r="AH32" s="56" t="s">
        <v>15</v>
      </c>
      <c r="AI32" s="56" t="s">
        <v>70</v>
      </c>
      <c r="AJ32" s="56" t="s">
        <v>625</v>
      </c>
      <c r="AK32" s="56">
        <v>6</v>
      </c>
      <c r="AL32" s="57">
        <v>40</v>
      </c>
      <c r="AM32" s="169"/>
      <c r="AN32" s="2"/>
      <c r="AO32" s="2"/>
      <c r="AP32" s="2"/>
      <c r="AQ32" s="168"/>
      <c r="AR32" s="167"/>
    </row>
    <row r="33" spans="1:44" ht="15.6" x14ac:dyDescent="0.3">
      <c r="A33" s="172"/>
      <c r="B33" s="172"/>
      <c r="C33" s="172"/>
      <c r="D33" s="172"/>
      <c r="E33" s="172"/>
      <c r="F33" s="169"/>
      <c r="G33" s="169"/>
      <c r="H33" s="170"/>
      <c r="I33" s="2"/>
      <c r="J33" s="170"/>
      <c r="K33" s="2"/>
      <c r="L33" s="170"/>
      <c r="M33" s="56" t="s">
        <v>15</v>
      </c>
      <c r="N33" s="56" t="s">
        <v>71</v>
      </c>
      <c r="O33" s="56">
        <v>6</v>
      </c>
      <c r="P33" s="70">
        <v>0.3</v>
      </c>
      <c r="Q33" s="70">
        <v>0</v>
      </c>
      <c r="R33" s="70">
        <v>1</v>
      </c>
      <c r="S33" s="171">
        <v>5.3</v>
      </c>
      <c r="T33" s="171">
        <v>9.5</v>
      </c>
      <c r="U33" s="70">
        <v>0</v>
      </c>
      <c r="V33" s="70">
        <v>3</v>
      </c>
      <c r="W33" s="70">
        <v>2</v>
      </c>
      <c r="X33" s="57">
        <v>1</v>
      </c>
      <c r="AA33" s="173" t="s">
        <v>256</v>
      </c>
      <c r="AB33" s="56" t="s">
        <v>71</v>
      </c>
      <c r="AC33" s="56" t="s">
        <v>626</v>
      </c>
      <c r="AD33" s="171">
        <v>10000</v>
      </c>
      <c r="AE33" s="169"/>
      <c r="AF33" s="2"/>
      <c r="AG33" s="170"/>
      <c r="AH33" s="56" t="s">
        <v>15</v>
      </c>
      <c r="AI33" s="56" t="s">
        <v>69</v>
      </c>
      <c r="AJ33" s="56" t="s">
        <v>27</v>
      </c>
      <c r="AK33" s="56">
        <v>6</v>
      </c>
      <c r="AL33" s="57">
        <v>18</v>
      </c>
      <c r="AM33" s="169"/>
      <c r="AN33" s="2"/>
      <c r="AO33" s="2"/>
      <c r="AP33" s="2"/>
      <c r="AQ33" s="168"/>
      <c r="AR33" s="167"/>
    </row>
    <row r="34" spans="1:44" ht="15.6" x14ac:dyDescent="0.3">
      <c r="A34" s="172"/>
      <c r="B34" s="172"/>
      <c r="C34" s="172"/>
      <c r="D34" s="172"/>
      <c r="E34" s="172"/>
      <c r="F34" s="169"/>
      <c r="G34" s="169"/>
      <c r="H34" s="170"/>
      <c r="I34" s="2"/>
      <c r="J34" s="170"/>
      <c r="K34" s="2"/>
      <c r="L34" s="170"/>
      <c r="M34" s="56" t="s">
        <v>15</v>
      </c>
      <c r="N34" s="56" t="s">
        <v>67</v>
      </c>
      <c r="O34" s="56">
        <v>6</v>
      </c>
      <c r="P34" s="70">
        <v>0.3</v>
      </c>
      <c r="Q34" s="70">
        <v>0</v>
      </c>
      <c r="R34" s="70">
        <v>1</v>
      </c>
      <c r="S34" s="171">
        <v>3.4</v>
      </c>
      <c r="T34" s="171">
        <v>7</v>
      </c>
      <c r="U34" s="70">
        <v>0</v>
      </c>
      <c r="V34" s="70">
        <v>10</v>
      </c>
      <c r="W34" s="70">
        <v>5</v>
      </c>
      <c r="X34" s="57">
        <v>5</v>
      </c>
      <c r="AA34" s="173" t="s">
        <v>256</v>
      </c>
      <c r="AB34" s="56" t="s">
        <v>67</v>
      </c>
      <c r="AC34" s="56" t="s">
        <v>626</v>
      </c>
      <c r="AD34" s="171">
        <v>2000</v>
      </c>
      <c r="AE34" s="169"/>
      <c r="AF34" s="2"/>
      <c r="AG34" s="170"/>
      <c r="AH34" s="56" t="s">
        <v>15</v>
      </c>
      <c r="AI34" s="56" t="s">
        <v>67</v>
      </c>
      <c r="AJ34" s="56" t="s">
        <v>28</v>
      </c>
      <c r="AK34" s="56">
        <v>6</v>
      </c>
      <c r="AL34" s="57">
        <v>3000</v>
      </c>
      <c r="AM34" s="169"/>
      <c r="AN34" s="2"/>
      <c r="AO34" s="2"/>
      <c r="AP34" s="2"/>
      <c r="AQ34" s="168"/>
      <c r="AR34" s="167"/>
    </row>
    <row r="35" spans="1:44" ht="15" x14ac:dyDescent="0.3">
      <c r="M35" s="56" t="s">
        <v>256</v>
      </c>
      <c r="N35" s="56" t="s">
        <v>68</v>
      </c>
      <c r="O35" s="56">
        <v>1</v>
      </c>
      <c r="P35" s="70">
        <v>0</v>
      </c>
      <c r="Q35" s="70" t="s">
        <v>97</v>
      </c>
      <c r="R35" s="70">
        <v>1</v>
      </c>
      <c r="S35" s="171">
        <v>4.5</v>
      </c>
      <c r="T35" s="171">
        <v>8</v>
      </c>
      <c r="U35" s="70">
        <v>0</v>
      </c>
      <c r="V35" s="70">
        <v>5</v>
      </c>
      <c r="W35" s="70">
        <v>3</v>
      </c>
      <c r="X35" s="57">
        <v>2</v>
      </c>
      <c r="AA35" s="173" t="s">
        <v>255</v>
      </c>
      <c r="AB35" s="56" t="s">
        <v>68</v>
      </c>
      <c r="AC35" s="56" t="s">
        <v>86</v>
      </c>
      <c r="AD35" s="369">
        <v>20</v>
      </c>
      <c r="AH35" s="56" t="s">
        <v>15</v>
      </c>
      <c r="AI35" s="56" t="s">
        <v>68</v>
      </c>
      <c r="AJ35" s="56" t="s">
        <v>25</v>
      </c>
      <c r="AK35" s="56">
        <v>7</v>
      </c>
      <c r="AL35" s="57">
        <v>300</v>
      </c>
    </row>
    <row r="36" spans="1:44" ht="15" x14ac:dyDescent="0.3">
      <c r="M36" s="56" t="s">
        <v>256</v>
      </c>
      <c r="N36" s="56" t="s">
        <v>69</v>
      </c>
      <c r="O36" s="56">
        <v>1</v>
      </c>
      <c r="P36" s="70">
        <v>0</v>
      </c>
      <c r="Q36" s="70">
        <v>0</v>
      </c>
      <c r="R36" s="70">
        <v>1</v>
      </c>
      <c r="S36" s="171">
        <v>6</v>
      </c>
      <c r="T36" s="171">
        <v>10</v>
      </c>
      <c r="U36" s="70">
        <v>0</v>
      </c>
      <c r="V36" s="70">
        <v>2</v>
      </c>
      <c r="W36" s="70">
        <v>1</v>
      </c>
      <c r="X36" s="57">
        <v>1</v>
      </c>
      <c r="AA36" s="173" t="s">
        <v>255</v>
      </c>
      <c r="AB36" s="56" t="s">
        <v>69</v>
      </c>
      <c r="AC36" s="56" t="s">
        <v>86</v>
      </c>
      <c r="AD36" s="369">
        <v>20</v>
      </c>
      <c r="AH36" s="56" t="s">
        <v>15</v>
      </c>
      <c r="AI36" s="56" t="s">
        <v>70</v>
      </c>
      <c r="AJ36" s="56" t="s">
        <v>26</v>
      </c>
      <c r="AK36" s="56">
        <v>7</v>
      </c>
      <c r="AL36" s="57">
        <v>30</v>
      </c>
    </row>
    <row r="37" spans="1:44" ht="15" x14ac:dyDescent="0.3">
      <c r="M37" s="56" t="s">
        <v>256</v>
      </c>
      <c r="N37" s="56" t="s">
        <v>70</v>
      </c>
      <c r="O37" s="56">
        <v>1</v>
      </c>
      <c r="P37" s="70">
        <v>0</v>
      </c>
      <c r="Q37" s="70">
        <v>0</v>
      </c>
      <c r="R37" s="70">
        <v>1</v>
      </c>
      <c r="S37" s="171">
        <v>5.5</v>
      </c>
      <c r="T37" s="171">
        <v>9</v>
      </c>
      <c r="U37" s="70">
        <v>0</v>
      </c>
      <c r="V37" s="70">
        <v>2</v>
      </c>
      <c r="W37" s="70">
        <v>1</v>
      </c>
      <c r="X37" s="57">
        <v>1</v>
      </c>
      <c r="AA37" s="173" t="s">
        <v>255</v>
      </c>
      <c r="AB37" s="56" t="s">
        <v>70</v>
      </c>
      <c r="AC37" s="56" t="s">
        <v>86</v>
      </c>
      <c r="AD37" s="369">
        <v>20</v>
      </c>
      <c r="AH37" s="56" t="s">
        <v>15</v>
      </c>
      <c r="AI37" s="56" t="s">
        <v>70</v>
      </c>
      <c r="AJ37" s="56" t="s">
        <v>625</v>
      </c>
      <c r="AK37" s="56">
        <v>7</v>
      </c>
      <c r="AL37" s="57">
        <v>200</v>
      </c>
    </row>
    <row r="38" spans="1:44" ht="15" x14ac:dyDescent="0.3">
      <c r="M38" s="56" t="s">
        <v>256</v>
      </c>
      <c r="N38" s="56" t="s">
        <v>71</v>
      </c>
      <c r="O38" s="56">
        <v>1</v>
      </c>
      <c r="P38" s="70">
        <v>0</v>
      </c>
      <c r="Q38" s="70">
        <v>0</v>
      </c>
      <c r="R38" s="70">
        <v>1</v>
      </c>
      <c r="S38" s="171">
        <v>6</v>
      </c>
      <c r="T38" s="171">
        <v>9.5</v>
      </c>
      <c r="U38" s="70">
        <v>0</v>
      </c>
      <c r="V38" s="70">
        <v>3</v>
      </c>
      <c r="W38" s="70">
        <v>2</v>
      </c>
      <c r="X38" s="57">
        <v>1</v>
      </c>
      <c r="AA38" s="173" t="s">
        <v>255</v>
      </c>
      <c r="AB38" s="56" t="s">
        <v>71</v>
      </c>
      <c r="AC38" s="56" t="s">
        <v>86</v>
      </c>
      <c r="AD38" s="369">
        <v>20</v>
      </c>
      <c r="AH38" s="56" t="s">
        <v>15</v>
      </c>
      <c r="AI38" s="56" t="s">
        <v>69</v>
      </c>
      <c r="AJ38" s="56" t="s">
        <v>27</v>
      </c>
      <c r="AK38" s="56">
        <v>7</v>
      </c>
      <c r="AL38" s="57">
        <v>18</v>
      </c>
    </row>
    <row r="39" spans="1:44" ht="15" x14ac:dyDescent="0.3">
      <c r="M39" s="56" t="s">
        <v>256</v>
      </c>
      <c r="N39" s="56" t="s">
        <v>67</v>
      </c>
      <c r="O39" s="56">
        <v>1</v>
      </c>
      <c r="P39" s="70">
        <v>0</v>
      </c>
      <c r="Q39" s="70">
        <v>0</v>
      </c>
      <c r="R39" s="70">
        <v>1</v>
      </c>
      <c r="S39" s="171">
        <v>4</v>
      </c>
      <c r="T39" s="171">
        <v>7</v>
      </c>
      <c r="U39" s="134">
        <v>0</v>
      </c>
      <c r="V39" s="70">
        <v>10</v>
      </c>
      <c r="W39" s="70">
        <v>5</v>
      </c>
      <c r="X39" s="57">
        <v>5</v>
      </c>
      <c r="AA39" s="173" t="s">
        <v>255</v>
      </c>
      <c r="AB39" s="56" t="s">
        <v>67</v>
      </c>
      <c r="AC39" s="56" t="s">
        <v>86</v>
      </c>
      <c r="AD39" s="369">
        <v>20</v>
      </c>
      <c r="AH39" s="56" t="s">
        <v>15</v>
      </c>
      <c r="AI39" s="56" t="s">
        <v>67</v>
      </c>
      <c r="AJ39" s="56" t="s">
        <v>28</v>
      </c>
      <c r="AK39" s="56">
        <v>7</v>
      </c>
      <c r="AL39" s="57">
        <v>1200</v>
      </c>
    </row>
    <row r="40" spans="1:44" ht="15" x14ac:dyDescent="0.3">
      <c r="M40" s="56" t="s">
        <v>256</v>
      </c>
      <c r="N40" s="56" t="s">
        <v>68</v>
      </c>
      <c r="O40" s="56">
        <v>2</v>
      </c>
      <c r="P40" s="70">
        <v>0</v>
      </c>
      <c r="Q40" s="70">
        <v>0</v>
      </c>
      <c r="R40" s="70">
        <v>1</v>
      </c>
      <c r="S40" s="171">
        <v>4.4000000000000004</v>
      </c>
      <c r="T40" s="171">
        <v>8</v>
      </c>
      <c r="U40" s="70">
        <v>1</v>
      </c>
      <c r="V40" s="70">
        <v>5</v>
      </c>
      <c r="W40" s="70">
        <v>3</v>
      </c>
      <c r="X40" s="57">
        <v>2</v>
      </c>
      <c r="AA40" s="173" t="s">
        <v>255</v>
      </c>
      <c r="AB40" s="56" t="s">
        <v>68</v>
      </c>
      <c r="AC40" s="56" t="s">
        <v>25</v>
      </c>
      <c r="AD40" s="171">
        <v>1300</v>
      </c>
      <c r="AH40" s="56" t="s">
        <v>256</v>
      </c>
      <c r="AI40" s="56" t="s">
        <v>68</v>
      </c>
      <c r="AJ40" s="56" t="s">
        <v>25</v>
      </c>
      <c r="AK40" s="56">
        <v>1</v>
      </c>
      <c r="AL40" s="57">
        <v>0</v>
      </c>
    </row>
    <row r="41" spans="1:44" ht="15" x14ac:dyDescent="0.3">
      <c r="M41" s="56" t="s">
        <v>256</v>
      </c>
      <c r="N41" s="56" t="s">
        <v>69</v>
      </c>
      <c r="O41" s="56">
        <v>2</v>
      </c>
      <c r="P41" s="70">
        <v>0.3</v>
      </c>
      <c r="Q41" s="70">
        <v>0</v>
      </c>
      <c r="R41" s="70">
        <v>1</v>
      </c>
      <c r="S41" s="171">
        <v>5.8</v>
      </c>
      <c r="T41" s="171">
        <v>10</v>
      </c>
      <c r="U41" s="70">
        <v>0</v>
      </c>
      <c r="V41" s="70">
        <v>2</v>
      </c>
      <c r="W41" s="70">
        <v>1</v>
      </c>
      <c r="X41" s="57">
        <v>1</v>
      </c>
      <c r="AA41" s="173" t="s">
        <v>255</v>
      </c>
      <c r="AB41" s="56" t="s">
        <v>70</v>
      </c>
      <c r="AC41" s="56" t="s">
        <v>26</v>
      </c>
      <c r="AD41" s="171">
        <v>1200</v>
      </c>
      <c r="AH41" s="56" t="s">
        <v>256</v>
      </c>
      <c r="AI41" s="56" t="s">
        <v>70</v>
      </c>
      <c r="AJ41" s="56" t="s">
        <v>26</v>
      </c>
      <c r="AK41" s="56">
        <v>1</v>
      </c>
      <c r="AL41" s="57">
        <v>0</v>
      </c>
    </row>
    <row r="42" spans="1:44" ht="15" x14ac:dyDescent="0.3">
      <c r="M42" s="56" t="s">
        <v>256</v>
      </c>
      <c r="N42" s="56" t="s">
        <v>70</v>
      </c>
      <c r="O42" s="56">
        <v>2</v>
      </c>
      <c r="P42" s="70">
        <v>0.3</v>
      </c>
      <c r="Q42" s="70">
        <v>0</v>
      </c>
      <c r="R42" s="70">
        <v>1</v>
      </c>
      <c r="S42" s="171">
        <v>5.3</v>
      </c>
      <c r="T42" s="171">
        <v>9</v>
      </c>
      <c r="U42" s="70">
        <v>0</v>
      </c>
      <c r="V42" s="70">
        <v>2</v>
      </c>
      <c r="W42" s="70">
        <v>1</v>
      </c>
      <c r="X42" s="57">
        <v>1</v>
      </c>
      <c r="AA42" s="173" t="s">
        <v>255</v>
      </c>
      <c r="AB42" s="56" t="s">
        <v>71</v>
      </c>
      <c r="AC42" s="56" t="s">
        <v>625</v>
      </c>
      <c r="AD42" s="372">
        <v>150</v>
      </c>
      <c r="AH42" s="56" t="s">
        <v>256</v>
      </c>
      <c r="AI42" s="56" t="s">
        <v>71</v>
      </c>
      <c r="AJ42" s="56" t="s">
        <v>625</v>
      </c>
      <c r="AK42" s="56">
        <v>1</v>
      </c>
      <c r="AL42" s="57">
        <v>0</v>
      </c>
    </row>
    <row r="43" spans="1:44" ht="15" x14ac:dyDescent="0.3">
      <c r="M43" s="56" t="s">
        <v>256</v>
      </c>
      <c r="N43" s="56" t="s">
        <v>71</v>
      </c>
      <c r="O43" s="56">
        <v>2</v>
      </c>
      <c r="P43" s="70">
        <v>0.3</v>
      </c>
      <c r="Q43" s="70">
        <v>0</v>
      </c>
      <c r="R43" s="70">
        <v>1</v>
      </c>
      <c r="S43" s="171">
        <v>5.8</v>
      </c>
      <c r="T43" s="171">
        <v>9.5</v>
      </c>
      <c r="U43" s="70">
        <v>0</v>
      </c>
      <c r="V43" s="70">
        <v>3</v>
      </c>
      <c r="W43" s="70">
        <v>2</v>
      </c>
      <c r="X43" s="57">
        <v>1</v>
      </c>
      <c r="AA43" s="173" t="s">
        <v>255</v>
      </c>
      <c r="AB43" s="56" t="s">
        <v>69</v>
      </c>
      <c r="AC43" s="56" t="s">
        <v>27</v>
      </c>
      <c r="AD43" s="171">
        <v>1800</v>
      </c>
      <c r="AH43" s="56" t="s">
        <v>256</v>
      </c>
      <c r="AI43" s="56" t="s">
        <v>69</v>
      </c>
      <c r="AJ43" s="56" t="s">
        <v>27</v>
      </c>
      <c r="AK43" s="56">
        <v>1</v>
      </c>
      <c r="AL43" s="57">
        <v>0</v>
      </c>
    </row>
    <row r="44" spans="1:44" ht="15" x14ac:dyDescent="0.3">
      <c r="M44" s="56" t="s">
        <v>256</v>
      </c>
      <c r="N44" s="56" t="s">
        <v>67</v>
      </c>
      <c r="O44" s="56">
        <v>2</v>
      </c>
      <c r="P44" s="70">
        <v>0.3</v>
      </c>
      <c r="Q44" s="70">
        <v>0</v>
      </c>
      <c r="R44" s="70">
        <v>1</v>
      </c>
      <c r="S44" s="171">
        <v>3.8</v>
      </c>
      <c r="T44" s="171">
        <v>7</v>
      </c>
      <c r="U44" s="70">
        <v>0</v>
      </c>
      <c r="V44" s="70">
        <v>10</v>
      </c>
      <c r="W44" s="70">
        <v>5</v>
      </c>
      <c r="X44" s="57">
        <v>5</v>
      </c>
      <c r="AA44" s="173" t="s">
        <v>255</v>
      </c>
      <c r="AB44" s="56" t="s">
        <v>67</v>
      </c>
      <c r="AC44" s="56" t="s">
        <v>28</v>
      </c>
      <c r="AD44" s="372">
        <v>65</v>
      </c>
      <c r="AH44" s="56" t="s">
        <v>256</v>
      </c>
      <c r="AI44" s="56" t="s">
        <v>67</v>
      </c>
      <c r="AJ44" s="56" t="s">
        <v>28</v>
      </c>
      <c r="AK44" s="56">
        <v>1</v>
      </c>
      <c r="AL44" s="57">
        <v>0</v>
      </c>
    </row>
    <row r="45" spans="1:44" ht="15" x14ac:dyDescent="0.3">
      <c r="M45" s="56" t="s">
        <v>256</v>
      </c>
      <c r="N45" s="56" t="s">
        <v>68</v>
      </c>
      <c r="O45" s="56">
        <v>3</v>
      </c>
      <c r="P45" s="70">
        <v>0.3</v>
      </c>
      <c r="Q45" s="70">
        <v>0</v>
      </c>
      <c r="R45" s="70">
        <v>1</v>
      </c>
      <c r="S45" s="171">
        <v>4.3</v>
      </c>
      <c r="T45" s="171">
        <v>8</v>
      </c>
      <c r="U45" s="70">
        <v>0</v>
      </c>
      <c r="V45" s="70">
        <v>5</v>
      </c>
      <c r="W45" s="70">
        <v>3</v>
      </c>
      <c r="X45" s="57">
        <v>2</v>
      </c>
      <c r="AA45" s="173" t="s">
        <v>255</v>
      </c>
      <c r="AB45" s="56" t="s">
        <v>68</v>
      </c>
      <c r="AC45" s="56" t="s">
        <v>626</v>
      </c>
      <c r="AD45" s="171">
        <v>190000</v>
      </c>
      <c r="AH45" s="56" t="s">
        <v>256</v>
      </c>
      <c r="AI45" s="56" t="s">
        <v>68</v>
      </c>
      <c r="AJ45" s="56" t="s">
        <v>25</v>
      </c>
      <c r="AK45" s="56">
        <v>2</v>
      </c>
      <c r="AL45" s="57">
        <v>0</v>
      </c>
    </row>
    <row r="46" spans="1:44" ht="15" x14ac:dyDescent="0.3">
      <c r="M46" s="56" t="s">
        <v>256</v>
      </c>
      <c r="N46" s="56" t="s">
        <v>69</v>
      </c>
      <c r="O46" s="56">
        <v>3</v>
      </c>
      <c r="P46" s="70">
        <v>0.3</v>
      </c>
      <c r="Q46" s="70">
        <v>0</v>
      </c>
      <c r="R46" s="70">
        <v>1</v>
      </c>
      <c r="S46" s="171">
        <v>5.6</v>
      </c>
      <c r="T46" s="171">
        <v>10</v>
      </c>
      <c r="U46" s="70">
        <v>0</v>
      </c>
      <c r="V46" s="70">
        <v>2</v>
      </c>
      <c r="W46" s="70">
        <v>1</v>
      </c>
      <c r="X46" s="57">
        <v>1</v>
      </c>
      <c r="AA46" s="173" t="s">
        <v>255</v>
      </c>
      <c r="AB46" s="56" t="s">
        <v>69</v>
      </c>
      <c r="AC46" s="56" t="s">
        <v>626</v>
      </c>
      <c r="AD46" s="171">
        <v>14000</v>
      </c>
      <c r="AH46" s="56" t="s">
        <v>256</v>
      </c>
      <c r="AI46" s="56" t="s">
        <v>70</v>
      </c>
      <c r="AJ46" s="56" t="s">
        <v>26</v>
      </c>
      <c r="AK46" s="56">
        <v>2</v>
      </c>
      <c r="AL46" s="57">
        <v>0</v>
      </c>
    </row>
    <row r="47" spans="1:44" ht="15" x14ac:dyDescent="0.3">
      <c r="M47" s="56" t="s">
        <v>256</v>
      </c>
      <c r="N47" s="56" t="s">
        <v>70</v>
      </c>
      <c r="O47" s="56">
        <v>3</v>
      </c>
      <c r="P47" s="70">
        <v>0.3</v>
      </c>
      <c r="Q47" s="70">
        <v>0</v>
      </c>
      <c r="R47" s="70">
        <v>1</v>
      </c>
      <c r="S47" s="171">
        <v>5.0999999999999996</v>
      </c>
      <c r="T47" s="171">
        <v>9</v>
      </c>
      <c r="U47" s="70">
        <v>0</v>
      </c>
      <c r="V47" s="70">
        <v>2</v>
      </c>
      <c r="W47" s="70">
        <v>1</v>
      </c>
      <c r="X47" s="57">
        <v>1</v>
      </c>
      <c r="AA47" s="173" t="s">
        <v>255</v>
      </c>
      <c r="AB47" s="56" t="s">
        <v>70</v>
      </c>
      <c r="AC47" s="56" t="s">
        <v>626</v>
      </c>
      <c r="AD47" s="171">
        <v>10000</v>
      </c>
      <c r="AH47" s="56" t="s">
        <v>256</v>
      </c>
      <c r="AI47" s="56" t="s">
        <v>70</v>
      </c>
      <c r="AJ47" s="56" t="s">
        <v>625</v>
      </c>
      <c r="AK47" s="56">
        <v>2</v>
      </c>
      <c r="AL47" s="57">
        <v>200</v>
      </c>
    </row>
    <row r="48" spans="1:44" ht="15" x14ac:dyDescent="0.3">
      <c r="M48" s="56" t="s">
        <v>256</v>
      </c>
      <c r="N48" s="56" t="s">
        <v>71</v>
      </c>
      <c r="O48" s="56">
        <v>3</v>
      </c>
      <c r="P48" s="70">
        <v>0.3</v>
      </c>
      <c r="Q48" s="70">
        <v>0</v>
      </c>
      <c r="R48" s="70">
        <v>1</v>
      </c>
      <c r="S48" s="171">
        <v>5.6</v>
      </c>
      <c r="T48" s="171">
        <v>9.5</v>
      </c>
      <c r="U48" s="70">
        <v>12</v>
      </c>
      <c r="V48" s="70">
        <v>3</v>
      </c>
      <c r="W48" s="70">
        <v>2</v>
      </c>
      <c r="X48" s="57">
        <v>1</v>
      </c>
      <c r="AA48" s="173" t="s">
        <v>255</v>
      </c>
      <c r="AB48" s="56" t="s">
        <v>71</v>
      </c>
      <c r="AC48" s="56" t="s">
        <v>626</v>
      </c>
      <c r="AD48" s="171">
        <v>10000</v>
      </c>
      <c r="AH48" s="56" t="s">
        <v>256</v>
      </c>
      <c r="AI48" s="56" t="s">
        <v>69</v>
      </c>
      <c r="AJ48" s="56" t="s">
        <v>27</v>
      </c>
      <c r="AK48" s="56">
        <v>2</v>
      </c>
      <c r="AL48" s="57">
        <v>20</v>
      </c>
    </row>
    <row r="49" spans="13:38" ht="15" x14ac:dyDescent="0.3">
      <c r="M49" s="56" t="s">
        <v>256</v>
      </c>
      <c r="N49" s="56" t="s">
        <v>67</v>
      </c>
      <c r="O49" s="56">
        <v>3</v>
      </c>
      <c r="P49" s="70">
        <v>0.3</v>
      </c>
      <c r="Q49" s="70">
        <v>0</v>
      </c>
      <c r="R49" s="70">
        <v>1</v>
      </c>
      <c r="S49" s="171">
        <v>3.7</v>
      </c>
      <c r="T49" s="171">
        <v>7</v>
      </c>
      <c r="U49" s="134">
        <v>0</v>
      </c>
      <c r="V49" s="70">
        <v>10</v>
      </c>
      <c r="W49" s="70">
        <v>5</v>
      </c>
      <c r="X49" s="57">
        <v>5</v>
      </c>
      <c r="AA49" s="173" t="s">
        <v>255</v>
      </c>
      <c r="AB49" s="56" t="s">
        <v>67</v>
      </c>
      <c r="AC49" s="56" t="s">
        <v>626</v>
      </c>
      <c r="AD49" s="171">
        <v>2000</v>
      </c>
      <c r="AH49" s="56" t="s">
        <v>256</v>
      </c>
      <c r="AI49" s="56" t="s">
        <v>67</v>
      </c>
      <c r="AJ49" s="56" t="s">
        <v>28</v>
      </c>
      <c r="AK49" s="56">
        <v>2</v>
      </c>
      <c r="AL49" s="57">
        <v>3000</v>
      </c>
    </row>
    <row r="50" spans="13:38" ht="15" x14ac:dyDescent="0.3">
      <c r="M50" s="56" t="s">
        <v>256</v>
      </c>
      <c r="N50" s="56" t="s">
        <v>68</v>
      </c>
      <c r="O50" s="56">
        <v>4</v>
      </c>
      <c r="P50" s="70">
        <v>0.3</v>
      </c>
      <c r="Q50" s="70">
        <v>0</v>
      </c>
      <c r="R50" s="70">
        <v>1</v>
      </c>
      <c r="S50" s="171">
        <v>4.2</v>
      </c>
      <c r="T50" s="171">
        <v>8</v>
      </c>
      <c r="U50" s="134">
        <v>0</v>
      </c>
      <c r="V50" s="70">
        <v>5</v>
      </c>
      <c r="W50" s="70">
        <v>3</v>
      </c>
      <c r="X50" s="57">
        <v>2</v>
      </c>
      <c r="AA50" s="173" t="s">
        <v>588</v>
      </c>
      <c r="AB50" s="56" t="s">
        <v>68</v>
      </c>
      <c r="AC50" s="56" t="s">
        <v>86</v>
      </c>
      <c r="AD50" s="369">
        <v>20</v>
      </c>
      <c r="AH50" s="56" t="s">
        <v>256</v>
      </c>
      <c r="AI50" s="56" t="s">
        <v>68</v>
      </c>
      <c r="AJ50" s="56" t="s">
        <v>25</v>
      </c>
      <c r="AK50" s="56">
        <v>3</v>
      </c>
      <c r="AL50" s="57">
        <v>0</v>
      </c>
    </row>
    <row r="51" spans="13:38" ht="15" x14ac:dyDescent="0.3">
      <c r="M51" s="56" t="s">
        <v>256</v>
      </c>
      <c r="N51" s="56" t="s">
        <v>69</v>
      </c>
      <c r="O51" s="56">
        <v>4</v>
      </c>
      <c r="P51" s="70">
        <v>0.3</v>
      </c>
      <c r="Q51" s="70">
        <v>0</v>
      </c>
      <c r="R51" s="70">
        <v>1</v>
      </c>
      <c r="S51" s="171">
        <v>5.5</v>
      </c>
      <c r="T51" s="171">
        <v>10</v>
      </c>
      <c r="U51" s="134">
        <v>0</v>
      </c>
      <c r="V51" s="70">
        <v>2</v>
      </c>
      <c r="W51" s="70">
        <v>1</v>
      </c>
      <c r="X51" s="57">
        <v>1</v>
      </c>
      <c r="AA51" s="173" t="s">
        <v>588</v>
      </c>
      <c r="AB51" s="56" t="s">
        <v>69</v>
      </c>
      <c r="AC51" s="56" t="s">
        <v>86</v>
      </c>
      <c r="AD51" s="369">
        <v>20</v>
      </c>
      <c r="AH51" s="56" t="s">
        <v>256</v>
      </c>
      <c r="AI51" s="56" t="s">
        <v>70</v>
      </c>
      <c r="AJ51" s="56" t="s">
        <v>26</v>
      </c>
      <c r="AK51" s="56">
        <v>3</v>
      </c>
      <c r="AL51" s="57">
        <v>30</v>
      </c>
    </row>
    <row r="52" spans="13:38" ht="15" x14ac:dyDescent="0.3">
      <c r="M52" s="56" t="s">
        <v>256</v>
      </c>
      <c r="N52" s="56" t="s">
        <v>70</v>
      </c>
      <c r="O52" s="56">
        <v>4</v>
      </c>
      <c r="P52" s="70">
        <v>0.3</v>
      </c>
      <c r="Q52" s="70">
        <v>0</v>
      </c>
      <c r="R52" s="70">
        <v>1</v>
      </c>
      <c r="S52" s="171">
        <v>5</v>
      </c>
      <c r="T52" s="171">
        <v>9</v>
      </c>
      <c r="U52" s="134">
        <v>0</v>
      </c>
      <c r="V52" s="70">
        <v>2</v>
      </c>
      <c r="W52" s="70">
        <v>1</v>
      </c>
      <c r="X52" s="57">
        <v>1</v>
      </c>
      <c r="AA52" s="173" t="s">
        <v>588</v>
      </c>
      <c r="AB52" s="56" t="s">
        <v>70</v>
      </c>
      <c r="AC52" s="56" t="s">
        <v>86</v>
      </c>
      <c r="AD52" s="369">
        <v>20</v>
      </c>
      <c r="AH52" s="56" t="s">
        <v>256</v>
      </c>
      <c r="AI52" s="56" t="s">
        <v>70</v>
      </c>
      <c r="AJ52" s="56" t="s">
        <v>625</v>
      </c>
      <c r="AK52" s="56">
        <v>3</v>
      </c>
      <c r="AL52" s="57">
        <v>200</v>
      </c>
    </row>
    <row r="53" spans="13:38" ht="15" x14ac:dyDescent="0.3">
      <c r="M53" s="56" t="s">
        <v>256</v>
      </c>
      <c r="N53" s="56" t="s">
        <v>71</v>
      </c>
      <c r="O53" s="56">
        <v>4</v>
      </c>
      <c r="P53" s="70">
        <v>0.3</v>
      </c>
      <c r="Q53" s="70">
        <v>0</v>
      </c>
      <c r="R53" s="70">
        <v>1</v>
      </c>
      <c r="S53" s="171">
        <v>5.5</v>
      </c>
      <c r="T53" s="171">
        <v>9.5</v>
      </c>
      <c r="U53" s="70">
        <v>12</v>
      </c>
      <c r="V53" s="70">
        <v>3</v>
      </c>
      <c r="W53" s="70">
        <v>2</v>
      </c>
      <c r="X53" s="57">
        <v>1</v>
      </c>
      <c r="AA53" s="173" t="s">
        <v>588</v>
      </c>
      <c r="AB53" s="56" t="s">
        <v>71</v>
      </c>
      <c r="AC53" s="56" t="s">
        <v>86</v>
      </c>
      <c r="AD53" s="369">
        <v>20</v>
      </c>
      <c r="AH53" s="56" t="s">
        <v>256</v>
      </c>
      <c r="AI53" s="56" t="s">
        <v>69</v>
      </c>
      <c r="AJ53" s="56" t="s">
        <v>27</v>
      </c>
      <c r="AK53" s="56">
        <v>3</v>
      </c>
      <c r="AL53" s="57">
        <v>0</v>
      </c>
    </row>
    <row r="54" spans="13:38" ht="15" x14ac:dyDescent="0.3">
      <c r="M54" s="56" t="s">
        <v>256</v>
      </c>
      <c r="N54" s="56" t="s">
        <v>67</v>
      </c>
      <c r="O54" s="56">
        <v>4</v>
      </c>
      <c r="P54" s="70">
        <v>0.3</v>
      </c>
      <c r="Q54" s="70">
        <v>0</v>
      </c>
      <c r="R54" s="70">
        <v>1</v>
      </c>
      <c r="S54" s="171">
        <v>3.6</v>
      </c>
      <c r="T54" s="171">
        <v>7</v>
      </c>
      <c r="U54" s="70">
        <v>0</v>
      </c>
      <c r="V54" s="70">
        <v>10</v>
      </c>
      <c r="W54" s="70">
        <v>5</v>
      </c>
      <c r="X54" s="57">
        <v>5</v>
      </c>
      <c r="AA54" s="173" t="s">
        <v>588</v>
      </c>
      <c r="AB54" s="56" t="s">
        <v>67</v>
      </c>
      <c r="AC54" s="56" t="s">
        <v>86</v>
      </c>
      <c r="AD54" s="369">
        <v>20</v>
      </c>
      <c r="AH54" s="56" t="s">
        <v>256</v>
      </c>
      <c r="AI54" s="56" t="s">
        <v>67</v>
      </c>
      <c r="AJ54" s="56" t="s">
        <v>28</v>
      </c>
      <c r="AK54" s="56">
        <v>3</v>
      </c>
      <c r="AL54" s="57">
        <v>3000</v>
      </c>
    </row>
    <row r="55" spans="13:38" ht="15" x14ac:dyDescent="0.3">
      <c r="M55" s="56" t="s">
        <v>256</v>
      </c>
      <c r="N55" s="56" t="s">
        <v>68</v>
      </c>
      <c r="O55" s="56">
        <v>5</v>
      </c>
      <c r="P55" s="70">
        <v>0.3</v>
      </c>
      <c r="Q55" s="70">
        <v>0</v>
      </c>
      <c r="R55" s="70">
        <v>1</v>
      </c>
      <c r="S55" s="171">
        <v>4.0999999999999996</v>
      </c>
      <c r="T55" s="171">
        <v>8</v>
      </c>
      <c r="U55" s="70">
        <v>0</v>
      </c>
      <c r="V55" s="70">
        <v>5</v>
      </c>
      <c r="W55" s="70">
        <v>3</v>
      </c>
      <c r="X55" s="57">
        <v>2</v>
      </c>
      <c r="AA55" s="173" t="s">
        <v>588</v>
      </c>
      <c r="AB55" s="56" t="s">
        <v>68</v>
      </c>
      <c r="AC55" s="56" t="s">
        <v>25</v>
      </c>
      <c r="AD55" s="171">
        <v>1300</v>
      </c>
      <c r="AH55" s="56" t="s">
        <v>256</v>
      </c>
      <c r="AI55" s="56" t="s">
        <v>68</v>
      </c>
      <c r="AJ55" s="56" t="s">
        <v>25</v>
      </c>
      <c r="AK55" s="56">
        <v>4</v>
      </c>
      <c r="AL55" s="57">
        <v>0</v>
      </c>
    </row>
    <row r="56" spans="13:38" ht="15" x14ac:dyDescent="0.3">
      <c r="M56" s="56" t="s">
        <v>256</v>
      </c>
      <c r="N56" s="56" t="s">
        <v>69</v>
      </c>
      <c r="O56" s="56">
        <v>5</v>
      </c>
      <c r="P56" s="70">
        <v>0.3</v>
      </c>
      <c r="Q56" s="70">
        <v>0</v>
      </c>
      <c r="R56" s="70">
        <v>1</v>
      </c>
      <c r="S56" s="171">
        <v>5.4</v>
      </c>
      <c r="T56" s="171">
        <v>10</v>
      </c>
      <c r="U56" s="70">
        <v>0</v>
      </c>
      <c r="V56" s="70">
        <v>2</v>
      </c>
      <c r="W56" s="70">
        <v>1</v>
      </c>
      <c r="X56" s="57">
        <v>1</v>
      </c>
      <c r="AA56" s="173" t="s">
        <v>588</v>
      </c>
      <c r="AB56" s="56" t="s">
        <v>70</v>
      </c>
      <c r="AC56" s="56" t="s">
        <v>26</v>
      </c>
      <c r="AD56" s="171">
        <v>1200</v>
      </c>
      <c r="AH56" s="56" t="s">
        <v>256</v>
      </c>
      <c r="AI56" s="56" t="s">
        <v>70</v>
      </c>
      <c r="AJ56" s="56" t="s">
        <v>26</v>
      </c>
      <c r="AK56" s="56">
        <v>4</v>
      </c>
      <c r="AL56" s="57">
        <v>0</v>
      </c>
    </row>
    <row r="57" spans="13:38" ht="15" x14ac:dyDescent="0.3">
      <c r="M57" s="56" t="s">
        <v>256</v>
      </c>
      <c r="N57" s="56" t="s">
        <v>70</v>
      </c>
      <c r="O57" s="56">
        <v>5</v>
      </c>
      <c r="P57" s="70">
        <v>0.3</v>
      </c>
      <c r="Q57" s="70">
        <v>0</v>
      </c>
      <c r="R57" s="70">
        <v>1</v>
      </c>
      <c r="S57" s="171">
        <v>4.9000000000000004</v>
      </c>
      <c r="T57" s="171">
        <v>9</v>
      </c>
      <c r="U57" s="70">
        <v>0</v>
      </c>
      <c r="V57" s="70">
        <v>2</v>
      </c>
      <c r="W57" s="70">
        <v>1</v>
      </c>
      <c r="X57" s="57">
        <v>1</v>
      </c>
      <c r="AA57" s="173" t="s">
        <v>588</v>
      </c>
      <c r="AB57" s="56" t="s">
        <v>71</v>
      </c>
      <c r="AC57" s="56" t="s">
        <v>625</v>
      </c>
      <c r="AD57" s="372">
        <v>150</v>
      </c>
      <c r="AH57" s="56" t="s">
        <v>256</v>
      </c>
      <c r="AI57" s="56" t="s">
        <v>70</v>
      </c>
      <c r="AJ57" s="56" t="s">
        <v>625</v>
      </c>
      <c r="AK57" s="56">
        <v>4</v>
      </c>
      <c r="AL57" s="57">
        <v>200</v>
      </c>
    </row>
    <row r="58" spans="13:38" ht="15" x14ac:dyDescent="0.3">
      <c r="M58" s="56" t="s">
        <v>256</v>
      </c>
      <c r="N58" s="56" t="s">
        <v>71</v>
      </c>
      <c r="O58" s="56">
        <v>5</v>
      </c>
      <c r="P58" s="70">
        <v>0.3</v>
      </c>
      <c r="Q58" s="70">
        <v>0</v>
      </c>
      <c r="R58" s="70">
        <v>1</v>
      </c>
      <c r="S58" s="171">
        <v>5.4</v>
      </c>
      <c r="T58" s="171">
        <v>9.5</v>
      </c>
      <c r="U58" s="70">
        <v>12</v>
      </c>
      <c r="V58" s="70">
        <v>3</v>
      </c>
      <c r="W58" s="70">
        <v>2</v>
      </c>
      <c r="X58" s="57">
        <v>1</v>
      </c>
      <c r="AA58" s="173" t="s">
        <v>588</v>
      </c>
      <c r="AB58" s="56" t="s">
        <v>69</v>
      </c>
      <c r="AC58" s="56" t="s">
        <v>27</v>
      </c>
      <c r="AD58" s="171">
        <v>1800</v>
      </c>
      <c r="AH58" s="56" t="s">
        <v>256</v>
      </c>
      <c r="AI58" s="56" t="s">
        <v>69</v>
      </c>
      <c r="AJ58" s="56" t="s">
        <v>27</v>
      </c>
      <c r="AK58" s="56">
        <v>4</v>
      </c>
      <c r="AL58" s="57">
        <v>0</v>
      </c>
    </row>
    <row r="59" spans="13:38" ht="15" x14ac:dyDescent="0.3">
      <c r="M59" s="56" t="s">
        <v>256</v>
      </c>
      <c r="N59" s="56" t="s">
        <v>67</v>
      </c>
      <c r="O59" s="56">
        <v>5</v>
      </c>
      <c r="P59" s="70">
        <v>0.3</v>
      </c>
      <c r="Q59" s="70">
        <v>0</v>
      </c>
      <c r="R59" s="70">
        <v>1</v>
      </c>
      <c r="S59" s="171">
        <v>3.5</v>
      </c>
      <c r="T59" s="171">
        <v>7</v>
      </c>
      <c r="U59" s="70">
        <v>0</v>
      </c>
      <c r="V59" s="70">
        <v>10</v>
      </c>
      <c r="W59" s="70">
        <v>5</v>
      </c>
      <c r="X59" s="57">
        <v>5</v>
      </c>
      <c r="AA59" s="173" t="s">
        <v>588</v>
      </c>
      <c r="AB59" s="56" t="s">
        <v>67</v>
      </c>
      <c r="AC59" s="56" t="s">
        <v>28</v>
      </c>
      <c r="AD59" s="372">
        <v>65</v>
      </c>
      <c r="AH59" s="56" t="s">
        <v>256</v>
      </c>
      <c r="AI59" s="56" t="s">
        <v>67</v>
      </c>
      <c r="AJ59" s="56" t="s">
        <v>28</v>
      </c>
      <c r="AK59" s="56">
        <v>4</v>
      </c>
      <c r="AL59" s="57">
        <v>3000</v>
      </c>
    </row>
    <row r="60" spans="13:38" ht="15" x14ac:dyDescent="0.3">
      <c r="M60" s="56" t="s">
        <v>256</v>
      </c>
      <c r="N60" s="56" t="s">
        <v>68</v>
      </c>
      <c r="O60" s="56">
        <v>6</v>
      </c>
      <c r="P60" s="70">
        <v>0.3</v>
      </c>
      <c r="Q60" s="70">
        <v>0</v>
      </c>
      <c r="R60" s="70">
        <v>1</v>
      </c>
      <c r="S60" s="171">
        <v>4</v>
      </c>
      <c r="T60" s="171">
        <v>8</v>
      </c>
      <c r="U60" s="70">
        <v>0</v>
      </c>
      <c r="V60" s="70">
        <v>5</v>
      </c>
      <c r="W60" s="70">
        <v>3</v>
      </c>
      <c r="X60" s="57">
        <v>2</v>
      </c>
      <c r="AA60" s="173" t="s">
        <v>588</v>
      </c>
      <c r="AB60" s="56" t="s">
        <v>68</v>
      </c>
      <c r="AC60" s="56" t="s">
        <v>626</v>
      </c>
      <c r="AD60" s="171">
        <v>190000</v>
      </c>
      <c r="AH60" s="56" t="s">
        <v>256</v>
      </c>
      <c r="AI60" s="56" t="s">
        <v>68</v>
      </c>
      <c r="AJ60" s="56" t="s">
        <v>25</v>
      </c>
      <c r="AK60" s="56">
        <v>5</v>
      </c>
      <c r="AL60" s="57">
        <v>0</v>
      </c>
    </row>
    <row r="61" spans="13:38" ht="15" x14ac:dyDescent="0.3">
      <c r="M61" s="56" t="s">
        <v>256</v>
      </c>
      <c r="N61" s="56" t="s">
        <v>69</v>
      </c>
      <c r="O61" s="56">
        <v>6</v>
      </c>
      <c r="P61" s="70">
        <v>0.3</v>
      </c>
      <c r="Q61" s="70">
        <v>0</v>
      </c>
      <c r="R61" s="70">
        <v>1</v>
      </c>
      <c r="S61" s="171">
        <v>5.3</v>
      </c>
      <c r="T61" s="171">
        <v>10</v>
      </c>
      <c r="U61" s="70">
        <v>0</v>
      </c>
      <c r="V61" s="70">
        <v>2</v>
      </c>
      <c r="W61" s="70">
        <v>1</v>
      </c>
      <c r="X61" s="57">
        <v>1</v>
      </c>
      <c r="AA61" s="173" t="s">
        <v>588</v>
      </c>
      <c r="AB61" s="56" t="s">
        <v>69</v>
      </c>
      <c r="AC61" s="56" t="s">
        <v>626</v>
      </c>
      <c r="AD61" s="171">
        <v>14000</v>
      </c>
      <c r="AH61" s="56" t="s">
        <v>256</v>
      </c>
      <c r="AI61" s="56" t="s">
        <v>70</v>
      </c>
      <c r="AJ61" s="56" t="s">
        <v>26</v>
      </c>
      <c r="AK61" s="56">
        <v>5</v>
      </c>
      <c r="AL61" s="57">
        <v>0</v>
      </c>
    </row>
    <row r="62" spans="13:38" ht="15" x14ac:dyDescent="0.3">
      <c r="M62" s="56" t="s">
        <v>256</v>
      </c>
      <c r="N62" s="56" t="s">
        <v>70</v>
      </c>
      <c r="O62" s="56">
        <v>6</v>
      </c>
      <c r="P62" s="70">
        <v>0.3</v>
      </c>
      <c r="Q62" s="70">
        <v>0</v>
      </c>
      <c r="R62" s="70">
        <v>1</v>
      </c>
      <c r="S62" s="171">
        <v>4.8</v>
      </c>
      <c r="T62" s="171">
        <v>9</v>
      </c>
      <c r="U62" s="70">
        <v>0</v>
      </c>
      <c r="V62" s="70">
        <v>2</v>
      </c>
      <c r="W62" s="70">
        <v>1</v>
      </c>
      <c r="X62" s="57">
        <v>1</v>
      </c>
      <c r="AA62" s="173" t="s">
        <v>588</v>
      </c>
      <c r="AB62" s="56" t="s">
        <v>70</v>
      </c>
      <c r="AC62" s="56" t="s">
        <v>626</v>
      </c>
      <c r="AD62" s="171">
        <v>10000</v>
      </c>
      <c r="AH62" s="56" t="s">
        <v>256</v>
      </c>
      <c r="AI62" s="56" t="s">
        <v>70</v>
      </c>
      <c r="AJ62" s="56" t="s">
        <v>625</v>
      </c>
      <c r="AK62" s="56">
        <v>5</v>
      </c>
      <c r="AL62" s="57">
        <v>200</v>
      </c>
    </row>
    <row r="63" spans="13:38" ht="15" x14ac:dyDescent="0.3">
      <c r="M63" s="56" t="s">
        <v>256</v>
      </c>
      <c r="N63" s="56" t="s">
        <v>71</v>
      </c>
      <c r="O63" s="56">
        <v>6</v>
      </c>
      <c r="P63" s="70">
        <v>0.3</v>
      </c>
      <c r="Q63" s="70">
        <v>0</v>
      </c>
      <c r="R63" s="70">
        <v>1</v>
      </c>
      <c r="S63" s="171">
        <v>5.3</v>
      </c>
      <c r="T63" s="171">
        <v>9.5</v>
      </c>
      <c r="U63" s="70">
        <v>0</v>
      </c>
      <c r="V63" s="70">
        <v>3</v>
      </c>
      <c r="W63" s="70">
        <v>2</v>
      </c>
      <c r="X63" s="57">
        <v>1</v>
      </c>
      <c r="AA63" s="173" t="s">
        <v>588</v>
      </c>
      <c r="AB63" s="56" t="s">
        <v>71</v>
      </c>
      <c r="AC63" s="56" t="s">
        <v>626</v>
      </c>
      <c r="AD63" s="171">
        <v>10000</v>
      </c>
      <c r="AH63" s="56" t="s">
        <v>256</v>
      </c>
      <c r="AI63" s="56" t="s">
        <v>69</v>
      </c>
      <c r="AJ63" s="56" t="s">
        <v>27</v>
      </c>
      <c r="AK63" s="56">
        <v>5</v>
      </c>
      <c r="AL63" s="57">
        <v>0</v>
      </c>
    </row>
    <row r="64" spans="13:38" ht="15" x14ac:dyDescent="0.3">
      <c r="M64" s="56" t="s">
        <v>256</v>
      </c>
      <c r="N64" s="56" t="s">
        <v>67</v>
      </c>
      <c r="O64" s="56">
        <v>6</v>
      </c>
      <c r="P64" s="70">
        <v>0.3</v>
      </c>
      <c r="Q64" s="70">
        <v>0</v>
      </c>
      <c r="R64" s="70">
        <v>1</v>
      </c>
      <c r="S64" s="171">
        <v>3.4</v>
      </c>
      <c r="T64" s="171">
        <v>7</v>
      </c>
      <c r="U64" s="70">
        <v>0</v>
      </c>
      <c r="V64" s="70">
        <v>10</v>
      </c>
      <c r="W64" s="70">
        <v>5</v>
      </c>
      <c r="X64" s="57">
        <v>5</v>
      </c>
      <c r="AA64" s="173" t="s">
        <v>588</v>
      </c>
      <c r="AB64" s="56" t="s">
        <v>67</v>
      </c>
      <c r="AC64" s="56" t="s">
        <v>626</v>
      </c>
      <c r="AD64" s="171">
        <v>2000</v>
      </c>
      <c r="AH64" s="56" t="s">
        <v>256</v>
      </c>
      <c r="AI64" s="56" t="s">
        <v>67</v>
      </c>
      <c r="AJ64" s="56" t="s">
        <v>28</v>
      </c>
      <c r="AK64" s="56">
        <v>5</v>
      </c>
      <c r="AL64" s="57">
        <v>3000</v>
      </c>
    </row>
    <row r="65" spans="13:38" ht="15" x14ac:dyDescent="0.3">
      <c r="M65" s="56" t="s">
        <v>255</v>
      </c>
      <c r="N65" s="56" t="s">
        <v>68</v>
      </c>
      <c r="O65" s="56">
        <v>1</v>
      </c>
      <c r="P65" s="70">
        <v>0</v>
      </c>
      <c r="Q65" s="70" t="s">
        <v>97</v>
      </c>
      <c r="R65" s="70">
        <v>1</v>
      </c>
      <c r="S65" s="171">
        <v>4.5</v>
      </c>
      <c r="T65" s="171">
        <v>8</v>
      </c>
      <c r="U65" s="70">
        <v>0</v>
      </c>
      <c r="V65" s="70">
        <v>5</v>
      </c>
      <c r="W65" s="70">
        <v>3</v>
      </c>
      <c r="X65" s="57">
        <v>2</v>
      </c>
      <c r="AH65" s="56" t="s">
        <v>256</v>
      </c>
      <c r="AI65" s="56" t="s">
        <v>68</v>
      </c>
      <c r="AJ65" s="56" t="s">
        <v>25</v>
      </c>
      <c r="AK65" s="56">
        <v>6</v>
      </c>
      <c r="AL65" s="57">
        <v>300</v>
      </c>
    </row>
    <row r="66" spans="13:38" ht="15" x14ac:dyDescent="0.3">
      <c r="M66" s="56" t="s">
        <v>255</v>
      </c>
      <c r="N66" s="56" t="s">
        <v>69</v>
      </c>
      <c r="O66" s="56">
        <v>1</v>
      </c>
      <c r="P66" s="70">
        <v>0</v>
      </c>
      <c r="Q66" s="70">
        <v>0</v>
      </c>
      <c r="R66" s="70">
        <v>1</v>
      </c>
      <c r="S66" s="171">
        <v>6</v>
      </c>
      <c r="T66" s="171">
        <v>10</v>
      </c>
      <c r="U66" s="70">
        <v>0</v>
      </c>
      <c r="V66" s="70">
        <v>2</v>
      </c>
      <c r="W66" s="70">
        <v>1</v>
      </c>
      <c r="X66" s="57">
        <v>1</v>
      </c>
      <c r="AH66" s="56" t="s">
        <v>256</v>
      </c>
      <c r="AI66" s="56" t="s">
        <v>70</v>
      </c>
      <c r="AJ66" s="56" t="s">
        <v>26</v>
      </c>
      <c r="AK66" s="56">
        <v>6</v>
      </c>
      <c r="AL66" s="57">
        <v>30</v>
      </c>
    </row>
    <row r="67" spans="13:38" ht="15" x14ac:dyDescent="0.3">
      <c r="M67" s="56" t="s">
        <v>255</v>
      </c>
      <c r="N67" s="56" t="s">
        <v>70</v>
      </c>
      <c r="O67" s="56">
        <v>1</v>
      </c>
      <c r="P67" s="70">
        <v>0</v>
      </c>
      <c r="Q67" s="70">
        <v>0</v>
      </c>
      <c r="R67" s="70">
        <v>1</v>
      </c>
      <c r="S67" s="171">
        <v>5.5</v>
      </c>
      <c r="T67" s="171">
        <v>9</v>
      </c>
      <c r="U67" s="70">
        <v>0</v>
      </c>
      <c r="V67" s="70">
        <v>2</v>
      </c>
      <c r="W67" s="70">
        <v>1</v>
      </c>
      <c r="X67" s="57">
        <v>1</v>
      </c>
      <c r="AH67" s="56" t="s">
        <v>256</v>
      </c>
      <c r="AI67" s="56" t="s">
        <v>70</v>
      </c>
      <c r="AJ67" s="56" t="s">
        <v>625</v>
      </c>
      <c r="AK67" s="56">
        <v>6</v>
      </c>
      <c r="AL67" s="57">
        <v>40</v>
      </c>
    </row>
    <row r="68" spans="13:38" ht="15" x14ac:dyDescent="0.3">
      <c r="M68" s="56" t="s">
        <v>255</v>
      </c>
      <c r="N68" s="56" t="s">
        <v>71</v>
      </c>
      <c r="O68" s="56">
        <v>1</v>
      </c>
      <c r="P68" s="70">
        <v>0</v>
      </c>
      <c r="Q68" s="70">
        <v>0</v>
      </c>
      <c r="R68" s="70">
        <v>1</v>
      </c>
      <c r="S68" s="171">
        <v>6</v>
      </c>
      <c r="T68" s="171">
        <v>9.5</v>
      </c>
      <c r="U68" s="70">
        <v>0</v>
      </c>
      <c r="V68" s="70">
        <v>3</v>
      </c>
      <c r="W68" s="70">
        <v>2</v>
      </c>
      <c r="X68" s="57">
        <v>1</v>
      </c>
      <c r="AH68" s="56" t="s">
        <v>256</v>
      </c>
      <c r="AI68" s="56" t="s">
        <v>69</v>
      </c>
      <c r="AJ68" s="56" t="s">
        <v>27</v>
      </c>
      <c r="AK68" s="56">
        <v>6</v>
      </c>
      <c r="AL68" s="57">
        <v>18</v>
      </c>
    </row>
    <row r="69" spans="13:38" ht="15" x14ac:dyDescent="0.3">
      <c r="M69" s="56" t="s">
        <v>255</v>
      </c>
      <c r="N69" s="56" t="s">
        <v>67</v>
      </c>
      <c r="O69" s="56">
        <v>1</v>
      </c>
      <c r="P69" s="70">
        <v>0</v>
      </c>
      <c r="Q69" s="70">
        <v>0</v>
      </c>
      <c r="R69" s="70">
        <v>1</v>
      </c>
      <c r="S69" s="171">
        <v>4</v>
      </c>
      <c r="T69" s="171">
        <v>7</v>
      </c>
      <c r="U69" s="134">
        <v>2</v>
      </c>
      <c r="V69" s="70">
        <v>10</v>
      </c>
      <c r="W69" s="70">
        <v>5</v>
      </c>
      <c r="X69" s="57">
        <v>5</v>
      </c>
      <c r="AH69" s="56" t="s">
        <v>256</v>
      </c>
      <c r="AI69" s="56" t="s">
        <v>67</v>
      </c>
      <c r="AJ69" s="56" t="s">
        <v>28</v>
      </c>
      <c r="AK69" s="56">
        <v>6</v>
      </c>
      <c r="AL69" s="57">
        <v>3000</v>
      </c>
    </row>
    <row r="70" spans="13:38" ht="15" x14ac:dyDescent="0.3">
      <c r="M70" s="56" t="s">
        <v>255</v>
      </c>
      <c r="N70" s="56" t="s">
        <v>68</v>
      </c>
      <c r="O70" s="56">
        <v>2</v>
      </c>
      <c r="P70" s="70">
        <v>0</v>
      </c>
      <c r="Q70" s="70">
        <v>0</v>
      </c>
      <c r="R70" s="70">
        <v>1</v>
      </c>
      <c r="S70" s="171">
        <v>4.4000000000000004</v>
      </c>
      <c r="T70" s="171">
        <v>8</v>
      </c>
      <c r="U70" s="70">
        <v>1</v>
      </c>
      <c r="V70" s="70">
        <v>5</v>
      </c>
      <c r="W70" s="70">
        <v>3</v>
      </c>
      <c r="X70" s="57">
        <v>2</v>
      </c>
      <c r="AH70" s="56" t="s">
        <v>256</v>
      </c>
      <c r="AI70" s="56" t="s">
        <v>68</v>
      </c>
      <c r="AJ70" s="56" t="s">
        <v>25</v>
      </c>
      <c r="AK70" s="56">
        <v>7</v>
      </c>
      <c r="AL70" s="57">
        <v>300</v>
      </c>
    </row>
    <row r="71" spans="13:38" ht="15" x14ac:dyDescent="0.3">
      <c r="M71" s="56" t="s">
        <v>255</v>
      </c>
      <c r="N71" s="56" t="s">
        <v>69</v>
      </c>
      <c r="O71" s="56">
        <v>2</v>
      </c>
      <c r="P71" s="70">
        <v>0.3</v>
      </c>
      <c r="Q71" s="70">
        <v>0</v>
      </c>
      <c r="R71" s="70">
        <v>1</v>
      </c>
      <c r="S71" s="171">
        <v>5.8</v>
      </c>
      <c r="T71" s="171">
        <v>10</v>
      </c>
      <c r="U71" s="70">
        <v>0</v>
      </c>
      <c r="V71" s="70">
        <v>2</v>
      </c>
      <c r="W71" s="70">
        <v>1</v>
      </c>
      <c r="X71" s="57">
        <v>1</v>
      </c>
      <c r="AH71" s="56" t="s">
        <v>256</v>
      </c>
      <c r="AI71" s="56" t="s">
        <v>70</v>
      </c>
      <c r="AJ71" s="56" t="s">
        <v>26</v>
      </c>
      <c r="AK71" s="56">
        <v>7</v>
      </c>
      <c r="AL71" s="57">
        <v>30</v>
      </c>
    </row>
    <row r="72" spans="13:38" ht="15" x14ac:dyDescent="0.3">
      <c r="M72" s="56" t="s">
        <v>255</v>
      </c>
      <c r="N72" s="56" t="s">
        <v>70</v>
      </c>
      <c r="O72" s="56">
        <v>2</v>
      </c>
      <c r="P72" s="70">
        <v>0.3</v>
      </c>
      <c r="Q72" s="70">
        <v>0</v>
      </c>
      <c r="R72" s="70">
        <v>1</v>
      </c>
      <c r="S72" s="171">
        <v>5.3</v>
      </c>
      <c r="T72" s="171">
        <v>9</v>
      </c>
      <c r="U72" s="70">
        <v>0</v>
      </c>
      <c r="V72" s="70">
        <v>2</v>
      </c>
      <c r="W72" s="70">
        <v>1</v>
      </c>
      <c r="X72" s="57">
        <v>1</v>
      </c>
      <c r="AH72" s="56" t="s">
        <v>256</v>
      </c>
      <c r="AI72" s="56" t="s">
        <v>70</v>
      </c>
      <c r="AJ72" s="56" t="s">
        <v>625</v>
      </c>
      <c r="AK72" s="56">
        <v>7</v>
      </c>
      <c r="AL72" s="57">
        <v>200</v>
      </c>
    </row>
    <row r="73" spans="13:38" ht="15" x14ac:dyDescent="0.3">
      <c r="M73" s="56" t="s">
        <v>255</v>
      </c>
      <c r="N73" s="56" t="s">
        <v>71</v>
      </c>
      <c r="O73" s="56">
        <v>2</v>
      </c>
      <c r="P73" s="70">
        <v>0.3</v>
      </c>
      <c r="Q73" s="70">
        <v>0</v>
      </c>
      <c r="R73" s="70">
        <v>1</v>
      </c>
      <c r="S73" s="171">
        <v>5.8</v>
      </c>
      <c r="T73" s="171">
        <v>9.5</v>
      </c>
      <c r="U73" s="70">
        <v>0</v>
      </c>
      <c r="V73" s="70">
        <v>3</v>
      </c>
      <c r="W73" s="70">
        <v>2</v>
      </c>
      <c r="X73" s="57">
        <v>1</v>
      </c>
      <c r="AH73" s="56" t="s">
        <v>256</v>
      </c>
      <c r="AI73" s="56" t="s">
        <v>69</v>
      </c>
      <c r="AJ73" s="56" t="s">
        <v>27</v>
      </c>
      <c r="AK73" s="56">
        <v>7</v>
      </c>
      <c r="AL73" s="57">
        <v>18</v>
      </c>
    </row>
    <row r="74" spans="13:38" ht="15" x14ac:dyDescent="0.3">
      <c r="M74" s="56" t="s">
        <v>255</v>
      </c>
      <c r="N74" s="56" t="s">
        <v>67</v>
      </c>
      <c r="O74" s="56">
        <v>2</v>
      </c>
      <c r="P74" s="70">
        <v>0.3</v>
      </c>
      <c r="Q74" s="70">
        <v>0</v>
      </c>
      <c r="R74" s="70">
        <v>1</v>
      </c>
      <c r="S74" s="171">
        <v>3.8</v>
      </c>
      <c r="T74" s="171">
        <v>7</v>
      </c>
      <c r="U74" s="70">
        <v>0</v>
      </c>
      <c r="V74" s="70">
        <v>10</v>
      </c>
      <c r="W74" s="70">
        <v>5</v>
      </c>
      <c r="X74" s="57">
        <v>5</v>
      </c>
      <c r="AH74" s="56" t="s">
        <v>256</v>
      </c>
      <c r="AI74" s="56" t="s">
        <v>67</v>
      </c>
      <c r="AJ74" s="56" t="s">
        <v>28</v>
      </c>
      <c r="AK74" s="56">
        <v>7</v>
      </c>
      <c r="AL74" s="57">
        <v>1200</v>
      </c>
    </row>
    <row r="75" spans="13:38" ht="15" x14ac:dyDescent="0.3">
      <c r="M75" s="56" t="s">
        <v>255</v>
      </c>
      <c r="N75" s="56" t="s">
        <v>68</v>
      </c>
      <c r="O75" s="56">
        <v>3</v>
      </c>
      <c r="P75" s="70">
        <v>0.3</v>
      </c>
      <c r="Q75" s="70">
        <v>0</v>
      </c>
      <c r="R75" s="70">
        <v>1</v>
      </c>
      <c r="S75" s="171">
        <v>4.3</v>
      </c>
      <c r="T75" s="171">
        <v>8</v>
      </c>
      <c r="U75" s="70">
        <v>0</v>
      </c>
      <c r="V75" s="70">
        <v>5</v>
      </c>
      <c r="W75" s="70">
        <v>3</v>
      </c>
      <c r="X75" s="57">
        <v>2</v>
      </c>
      <c r="AH75" s="56" t="s">
        <v>255</v>
      </c>
      <c r="AI75" s="56" t="s">
        <v>68</v>
      </c>
      <c r="AJ75" s="56" t="s">
        <v>25</v>
      </c>
      <c r="AK75" s="56">
        <v>1</v>
      </c>
      <c r="AL75" s="57">
        <v>0</v>
      </c>
    </row>
    <row r="76" spans="13:38" ht="15" x14ac:dyDescent="0.3">
      <c r="M76" s="56" t="s">
        <v>255</v>
      </c>
      <c r="N76" s="56" t="s">
        <v>69</v>
      </c>
      <c r="O76" s="56">
        <v>3</v>
      </c>
      <c r="P76" s="70">
        <v>0.3</v>
      </c>
      <c r="Q76" s="70">
        <v>0</v>
      </c>
      <c r="R76" s="70">
        <v>1</v>
      </c>
      <c r="S76" s="171">
        <v>5.6</v>
      </c>
      <c r="T76" s="171">
        <v>10</v>
      </c>
      <c r="U76" s="70">
        <v>0</v>
      </c>
      <c r="V76" s="70">
        <v>2</v>
      </c>
      <c r="W76" s="70">
        <v>1</v>
      </c>
      <c r="X76" s="57">
        <v>1</v>
      </c>
      <c r="AH76" s="56" t="s">
        <v>255</v>
      </c>
      <c r="AI76" s="56" t="s">
        <v>70</v>
      </c>
      <c r="AJ76" s="56" t="s">
        <v>26</v>
      </c>
      <c r="AK76" s="56">
        <v>1</v>
      </c>
      <c r="AL76" s="57">
        <v>0</v>
      </c>
    </row>
    <row r="77" spans="13:38" ht="15" x14ac:dyDescent="0.3">
      <c r="M77" s="56" t="s">
        <v>255</v>
      </c>
      <c r="N77" s="56" t="s">
        <v>70</v>
      </c>
      <c r="O77" s="56">
        <v>3</v>
      </c>
      <c r="P77" s="70">
        <v>0.3</v>
      </c>
      <c r="Q77" s="70">
        <v>0</v>
      </c>
      <c r="R77" s="70">
        <v>1</v>
      </c>
      <c r="S77" s="171">
        <v>5.0999999999999996</v>
      </c>
      <c r="T77" s="171">
        <v>9</v>
      </c>
      <c r="U77" s="70">
        <v>0</v>
      </c>
      <c r="V77" s="70">
        <v>2</v>
      </c>
      <c r="W77" s="70">
        <v>1</v>
      </c>
      <c r="X77" s="57">
        <v>1</v>
      </c>
      <c r="AH77" s="56" t="s">
        <v>255</v>
      </c>
      <c r="AI77" s="56" t="s">
        <v>71</v>
      </c>
      <c r="AJ77" s="56" t="s">
        <v>625</v>
      </c>
      <c r="AK77" s="56">
        <v>1</v>
      </c>
      <c r="AL77" s="57">
        <v>0</v>
      </c>
    </row>
    <row r="78" spans="13:38" ht="15" x14ac:dyDescent="0.3">
      <c r="M78" s="56" t="s">
        <v>255</v>
      </c>
      <c r="N78" s="56" t="s">
        <v>71</v>
      </c>
      <c r="O78" s="56">
        <v>3</v>
      </c>
      <c r="P78" s="70">
        <v>0.3</v>
      </c>
      <c r="Q78" s="70">
        <v>0</v>
      </c>
      <c r="R78" s="70">
        <v>1</v>
      </c>
      <c r="S78" s="171">
        <v>5.6</v>
      </c>
      <c r="T78" s="171">
        <v>9.5</v>
      </c>
      <c r="U78" s="70">
        <v>0</v>
      </c>
      <c r="V78" s="70">
        <v>3</v>
      </c>
      <c r="W78" s="70">
        <v>2</v>
      </c>
      <c r="X78" s="57">
        <v>1</v>
      </c>
      <c r="AH78" s="56" t="s">
        <v>255</v>
      </c>
      <c r="AI78" s="56" t="s">
        <v>69</v>
      </c>
      <c r="AJ78" s="56" t="s">
        <v>27</v>
      </c>
      <c r="AK78" s="56">
        <v>1</v>
      </c>
      <c r="AL78" s="57">
        <v>0</v>
      </c>
    </row>
    <row r="79" spans="13:38" ht="15" x14ac:dyDescent="0.3">
      <c r="M79" s="56" t="s">
        <v>255</v>
      </c>
      <c r="N79" s="56" t="s">
        <v>67</v>
      </c>
      <c r="O79" s="56">
        <v>3</v>
      </c>
      <c r="P79" s="70">
        <v>0.3</v>
      </c>
      <c r="Q79" s="70">
        <v>0</v>
      </c>
      <c r="R79" s="70">
        <v>1</v>
      </c>
      <c r="S79" s="171">
        <v>3.7</v>
      </c>
      <c r="T79" s="171">
        <v>7</v>
      </c>
      <c r="U79" s="134">
        <v>0</v>
      </c>
      <c r="V79" s="70">
        <v>10</v>
      </c>
      <c r="W79" s="70">
        <v>5</v>
      </c>
      <c r="X79" s="57">
        <v>5</v>
      </c>
      <c r="AH79" s="56" t="s">
        <v>255</v>
      </c>
      <c r="AI79" s="56" t="s">
        <v>67</v>
      </c>
      <c r="AJ79" s="56" t="s">
        <v>28</v>
      </c>
      <c r="AK79" s="56">
        <v>1</v>
      </c>
      <c r="AL79" s="57">
        <v>0</v>
      </c>
    </row>
    <row r="80" spans="13:38" ht="15" x14ac:dyDescent="0.3">
      <c r="M80" s="56" t="s">
        <v>255</v>
      </c>
      <c r="N80" s="56" t="s">
        <v>68</v>
      </c>
      <c r="O80" s="56">
        <v>4</v>
      </c>
      <c r="P80" s="70">
        <v>0.3</v>
      </c>
      <c r="Q80" s="70">
        <v>0</v>
      </c>
      <c r="R80" s="70">
        <v>1</v>
      </c>
      <c r="S80" s="171">
        <v>4.2</v>
      </c>
      <c r="T80" s="171">
        <v>8</v>
      </c>
      <c r="U80" s="134">
        <v>0</v>
      </c>
      <c r="V80" s="70">
        <v>5</v>
      </c>
      <c r="W80" s="70">
        <v>3</v>
      </c>
      <c r="X80" s="57">
        <v>2</v>
      </c>
      <c r="AH80" s="56" t="s">
        <v>255</v>
      </c>
      <c r="AI80" s="56" t="s">
        <v>68</v>
      </c>
      <c r="AJ80" s="56" t="s">
        <v>25</v>
      </c>
      <c r="AK80" s="56">
        <v>2</v>
      </c>
      <c r="AL80" s="57">
        <v>0</v>
      </c>
    </row>
    <row r="81" spans="13:38" ht="15" x14ac:dyDescent="0.3">
      <c r="M81" s="56" t="s">
        <v>255</v>
      </c>
      <c r="N81" s="56" t="s">
        <v>69</v>
      </c>
      <c r="O81" s="56">
        <v>4</v>
      </c>
      <c r="P81" s="70">
        <v>0.3</v>
      </c>
      <c r="Q81" s="70">
        <v>0</v>
      </c>
      <c r="R81" s="70">
        <v>1</v>
      </c>
      <c r="S81" s="171">
        <v>5.5</v>
      </c>
      <c r="T81" s="171">
        <v>10</v>
      </c>
      <c r="U81" s="134">
        <v>0</v>
      </c>
      <c r="V81" s="70">
        <v>2</v>
      </c>
      <c r="W81" s="70">
        <v>1</v>
      </c>
      <c r="X81" s="57">
        <v>1</v>
      </c>
      <c r="AH81" s="56" t="s">
        <v>255</v>
      </c>
      <c r="AI81" s="56" t="s">
        <v>70</v>
      </c>
      <c r="AJ81" s="56" t="s">
        <v>26</v>
      </c>
      <c r="AK81" s="56">
        <v>2</v>
      </c>
      <c r="AL81" s="57">
        <v>0</v>
      </c>
    </row>
    <row r="82" spans="13:38" ht="15" x14ac:dyDescent="0.3">
      <c r="M82" s="56" t="s">
        <v>255</v>
      </c>
      <c r="N82" s="56" t="s">
        <v>70</v>
      </c>
      <c r="O82" s="56">
        <v>4</v>
      </c>
      <c r="P82" s="70">
        <v>0.3</v>
      </c>
      <c r="Q82" s="70">
        <v>0</v>
      </c>
      <c r="R82" s="70">
        <v>1</v>
      </c>
      <c r="S82" s="171">
        <v>5</v>
      </c>
      <c r="T82" s="171">
        <v>9</v>
      </c>
      <c r="U82" s="134">
        <v>0</v>
      </c>
      <c r="V82" s="70">
        <v>2</v>
      </c>
      <c r="W82" s="70">
        <v>1</v>
      </c>
      <c r="X82" s="57">
        <v>1</v>
      </c>
      <c r="AH82" s="56" t="s">
        <v>255</v>
      </c>
      <c r="AI82" s="56" t="s">
        <v>70</v>
      </c>
      <c r="AJ82" s="56" t="s">
        <v>625</v>
      </c>
      <c r="AK82" s="56">
        <v>2</v>
      </c>
      <c r="AL82" s="57">
        <v>200</v>
      </c>
    </row>
    <row r="83" spans="13:38" ht="15" x14ac:dyDescent="0.3">
      <c r="M83" s="56" t="s">
        <v>255</v>
      </c>
      <c r="N83" s="56" t="s">
        <v>71</v>
      </c>
      <c r="O83" s="56">
        <v>4</v>
      </c>
      <c r="P83" s="70">
        <v>0.3</v>
      </c>
      <c r="Q83" s="70">
        <v>0</v>
      </c>
      <c r="R83" s="70">
        <v>1</v>
      </c>
      <c r="S83" s="171">
        <v>5.5</v>
      </c>
      <c r="T83" s="171">
        <v>9.5</v>
      </c>
      <c r="U83" s="70">
        <v>0</v>
      </c>
      <c r="V83" s="70">
        <v>3</v>
      </c>
      <c r="W83" s="70">
        <v>2</v>
      </c>
      <c r="X83" s="57">
        <v>1</v>
      </c>
      <c r="AH83" s="56" t="s">
        <v>255</v>
      </c>
      <c r="AI83" s="56" t="s">
        <v>69</v>
      </c>
      <c r="AJ83" s="56" t="s">
        <v>27</v>
      </c>
      <c r="AK83" s="56">
        <v>2</v>
      </c>
      <c r="AL83" s="57">
        <v>20</v>
      </c>
    </row>
    <row r="84" spans="13:38" ht="15" x14ac:dyDescent="0.3">
      <c r="M84" s="56" t="s">
        <v>255</v>
      </c>
      <c r="N84" s="56" t="s">
        <v>67</v>
      </c>
      <c r="O84" s="56">
        <v>4</v>
      </c>
      <c r="P84" s="70">
        <v>0.3</v>
      </c>
      <c r="Q84" s="70">
        <v>0</v>
      </c>
      <c r="R84" s="70">
        <v>1</v>
      </c>
      <c r="S84" s="171">
        <v>3.6</v>
      </c>
      <c r="T84" s="171">
        <v>7</v>
      </c>
      <c r="U84" s="70">
        <v>0</v>
      </c>
      <c r="V84" s="70">
        <v>10</v>
      </c>
      <c r="W84" s="70">
        <v>5</v>
      </c>
      <c r="X84" s="57">
        <v>5</v>
      </c>
      <c r="AH84" s="56" t="s">
        <v>255</v>
      </c>
      <c r="AI84" s="56" t="s">
        <v>67</v>
      </c>
      <c r="AJ84" s="56" t="s">
        <v>28</v>
      </c>
      <c r="AK84" s="56">
        <v>2</v>
      </c>
      <c r="AL84" s="57">
        <v>3000</v>
      </c>
    </row>
    <row r="85" spans="13:38" ht="15" x14ac:dyDescent="0.3">
      <c r="M85" s="56" t="s">
        <v>255</v>
      </c>
      <c r="N85" s="56" t="s">
        <v>68</v>
      </c>
      <c r="O85" s="56">
        <v>5</v>
      </c>
      <c r="P85" s="70">
        <v>0.3</v>
      </c>
      <c r="Q85" s="70">
        <v>0</v>
      </c>
      <c r="R85" s="70">
        <v>1</v>
      </c>
      <c r="S85" s="171">
        <v>4.0999999999999996</v>
      </c>
      <c r="T85" s="171">
        <v>8</v>
      </c>
      <c r="U85" s="70">
        <v>0</v>
      </c>
      <c r="V85" s="70">
        <v>5</v>
      </c>
      <c r="W85" s="70">
        <v>3</v>
      </c>
      <c r="X85" s="57">
        <v>2</v>
      </c>
      <c r="AH85" s="56" t="s">
        <v>255</v>
      </c>
      <c r="AI85" s="56" t="s">
        <v>68</v>
      </c>
      <c r="AJ85" s="56" t="s">
        <v>25</v>
      </c>
      <c r="AK85" s="56">
        <v>3</v>
      </c>
      <c r="AL85" s="57">
        <v>0</v>
      </c>
    </row>
    <row r="86" spans="13:38" ht="15" x14ac:dyDescent="0.3">
      <c r="M86" s="56" t="s">
        <v>255</v>
      </c>
      <c r="N86" s="56" t="s">
        <v>69</v>
      </c>
      <c r="O86" s="56">
        <v>5</v>
      </c>
      <c r="P86" s="70">
        <v>0.3</v>
      </c>
      <c r="Q86" s="70">
        <v>0</v>
      </c>
      <c r="R86" s="70">
        <v>1</v>
      </c>
      <c r="S86" s="171">
        <v>5.4</v>
      </c>
      <c r="T86" s="171">
        <v>10</v>
      </c>
      <c r="U86" s="70">
        <v>0</v>
      </c>
      <c r="V86" s="70">
        <v>2</v>
      </c>
      <c r="W86" s="70">
        <v>1</v>
      </c>
      <c r="X86" s="57">
        <v>1</v>
      </c>
      <c r="AH86" s="56" t="s">
        <v>255</v>
      </c>
      <c r="AI86" s="56" t="s">
        <v>70</v>
      </c>
      <c r="AJ86" s="56" t="s">
        <v>26</v>
      </c>
      <c r="AK86" s="56">
        <v>3</v>
      </c>
      <c r="AL86" s="57">
        <v>30</v>
      </c>
    </row>
    <row r="87" spans="13:38" ht="15" x14ac:dyDescent="0.3">
      <c r="M87" s="56" t="s">
        <v>255</v>
      </c>
      <c r="N87" s="56" t="s">
        <v>70</v>
      </c>
      <c r="O87" s="56">
        <v>5</v>
      </c>
      <c r="P87" s="70">
        <v>0.3</v>
      </c>
      <c r="Q87" s="70">
        <v>0</v>
      </c>
      <c r="R87" s="70">
        <v>1</v>
      </c>
      <c r="S87" s="171">
        <v>4.9000000000000004</v>
      </c>
      <c r="T87" s="171">
        <v>9</v>
      </c>
      <c r="U87" s="70">
        <v>0</v>
      </c>
      <c r="V87" s="70">
        <v>2</v>
      </c>
      <c r="W87" s="70">
        <v>1</v>
      </c>
      <c r="X87" s="57">
        <v>1</v>
      </c>
      <c r="AH87" s="56" t="s">
        <v>255</v>
      </c>
      <c r="AI87" s="56" t="s">
        <v>70</v>
      </c>
      <c r="AJ87" s="56" t="s">
        <v>625</v>
      </c>
      <c r="AK87" s="56">
        <v>3</v>
      </c>
      <c r="AL87" s="57">
        <v>200</v>
      </c>
    </row>
    <row r="88" spans="13:38" ht="15" x14ac:dyDescent="0.3">
      <c r="M88" s="56" t="s">
        <v>255</v>
      </c>
      <c r="N88" s="56" t="s">
        <v>71</v>
      </c>
      <c r="O88" s="56">
        <v>5</v>
      </c>
      <c r="P88" s="70">
        <v>0.3</v>
      </c>
      <c r="Q88" s="70">
        <v>0</v>
      </c>
      <c r="R88" s="70">
        <v>1</v>
      </c>
      <c r="S88" s="171">
        <v>5.4</v>
      </c>
      <c r="T88" s="171">
        <v>9.5</v>
      </c>
      <c r="U88" s="70">
        <v>0</v>
      </c>
      <c r="V88" s="70">
        <v>3</v>
      </c>
      <c r="W88" s="70">
        <v>2</v>
      </c>
      <c r="X88" s="57">
        <v>1</v>
      </c>
      <c r="AH88" s="56" t="s">
        <v>255</v>
      </c>
      <c r="AI88" s="56" t="s">
        <v>69</v>
      </c>
      <c r="AJ88" s="56" t="s">
        <v>27</v>
      </c>
      <c r="AK88" s="56">
        <v>3</v>
      </c>
      <c r="AL88" s="57">
        <v>0</v>
      </c>
    </row>
    <row r="89" spans="13:38" ht="15" x14ac:dyDescent="0.3">
      <c r="M89" s="56" t="s">
        <v>255</v>
      </c>
      <c r="N89" s="56" t="s">
        <v>67</v>
      </c>
      <c r="O89" s="56">
        <v>5</v>
      </c>
      <c r="P89" s="70">
        <v>0.3</v>
      </c>
      <c r="Q89" s="70">
        <v>0</v>
      </c>
      <c r="R89" s="70">
        <v>1</v>
      </c>
      <c r="S89" s="171">
        <v>3.5</v>
      </c>
      <c r="T89" s="171">
        <v>7</v>
      </c>
      <c r="U89" s="70">
        <v>0</v>
      </c>
      <c r="V89" s="70">
        <v>10</v>
      </c>
      <c r="W89" s="70">
        <v>5</v>
      </c>
      <c r="X89" s="57">
        <v>5</v>
      </c>
      <c r="AH89" s="56" t="s">
        <v>255</v>
      </c>
      <c r="AI89" s="56" t="s">
        <v>67</v>
      </c>
      <c r="AJ89" s="56" t="s">
        <v>28</v>
      </c>
      <c r="AK89" s="56">
        <v>3</v>
      </c>
      <c r="AL89" s="57">
        <v>3000</v>
      </c>
    </row>
    <row r="90" spans="13:38" ht="15" x14ac:dyDescent="0.3">
      <c r="M90" s="56" t="s">
        <v>255</v>
      </c>
      <c r="N90" s="56" t="s">
        <v>68</v>
      </c>
      <c r="O90" s="56">
        <v>6</v>
      </c>
      <c r="P90" s="70">
        <v>0.3</v>
      </c>
      <c r="Q90" s="70">
        <v>0</v>
      </c>
      <c r="R90" s="70">
        <v>1</v>
      </c>
      <c r="S90" s="171">
        <v>4</v>
      </c>
      <c r="T90" s="171">
        <v>8</v>
      </c>
      <c r="U90" s="70">
        <v>0</v>
      </c>
      <c r="V90" s="70">
        <v>5</v>
      </c>
      <c r="W90" s="70">
        <v>3</v>
      </c>
      <c r="X90" s="57">
        <v>2</v>
      </c>
      <c r="AH90" s="56" t="s">
        <v>255</v>
      </c>
      <c r="AI90" s="56" t="s">
        <v>68</v>
      </c>
      <c r="AJ90" s="56" t="s">
        <v>25</v>
      </c>
      <c r="AK90" s="56">
        <v>4</v>
      </c>
      <c r="AL90" s="57">
        <v>0</v>
      </c>
    </row>
    <row r="91" spans="13:38" ht="15" x14ac:dyDescent="0.3">
      <c r="M91" s="56" t="s">
        <v>255</v>
      </c>
      <c r="N91" s="56" t="s">
        <v>69</v>
      </c>
      <c r="O91" s="56">
        <v>6</v>
      </c>
      <c r="P91" s="70">
        <v>0.3</v>
      </c>
      <c r="Q91" s="70">
        <v>0</v>
      </c>
      <c r="R91" s="70">
        <v>1</v>
      </c>
      <c r="S91" s="171">
        <v>5.3</v>
      </c>
      <c r="T91" s="171">
        <v>10</v>
      </c>
      <c r="U91" s="70">
        <v>0</v>
      </c>
      <c r="V91" s="70">
        <v>2</v>
      </c>
      <c r="W91" s="70">
        <v>1</v>
      </c>
      <c r="X91" s="57">
        <v>1</v>
      </c>
      <c r="AH91" s="56" t="s">
        <v>255</v>
      </c>
      <c r="AI91" s="56" t="s">
        <v>70</v>
      </c>
      <c r="AJ91" s="56" t="s">
        <v>26</v>
      </c>
      <c r="AK91" s="56">
        <v>4</v>
      </c>
      <c r="AL91" s="57">
        <v>0</v>
      </c>
    </row>
    <row r="92" spans="13:38" ht="15" x14ac:dyDescent="0.3">
      <c r="M92" s="56" t="s">
        <v>255</v>
      </c>
      <c r="N92" s="56" t="s">
        <v>70</v>
      </c>
      <c r="O92" s="56">
        <v>6</v>
      </c>
      <c r="P92" s="70">
        <v>0.3</v>
      </c>
      <c r="Q92" s="70">
        <v>0</v>
      </c>
      <c r="R92" s="70">
        <v>1</v>
      </c>
      <c r="S92" s="171">
        <v>4.8</v>
      </c>
      <c r="T92" s="171">
        <v>9</v>
      </c>
      <c r="U92" s="70">
        <v>0</v>
      </c>
      <c r="V92" s="70">
        <v>2</v>
      </c>
      <c r="W92" s="70">
        <v>1</v>
      </c>
      <c r="X92" s="57">
        <v>1</v>
      </c>
      <c r="AH92" s="56" t="s">
        <v>255</v>
      </c>
      <c r="AI92" s="56" t="s">
        <v>70</v>
      </c>
      <c r="AJ92" s="56" t="s">
        <v>625</v>
      </c>
      <c r="AK92" s="56">
        <v>4</v>
      </c>
      <c r="AL92" s="57">
        <v>200</v>
      </c>
    </row>
    <row r="93" spans="13:38" ht="15" x14ac:dyDescent="0.3">
      <c r="M93" s="56" t="s">
        <v>255</v>
      </c>
      <c r="N93" s="56" t="s">
        <v>71</v>
      </c>
      <c r="O93" s="56">
        <v>6</v>
      </c>
      <c r="P93" s="70">
        <v>0.3</v>
      </c>
      <c r="Q93" s="70">
        <v>0</v>
      </c>
      <c r="R93" s="70">
        <v>1</v>
      </c>
      <c r="S93" s="171">
        <v>5.3</v>
      </c>
      <c r="T93" s="171">
        <v>9.5</v>
      </c>
      <c r="U93" s="70">
        <v>1</v>
      </c>
      <c r="V93" s="70">
        <v>3</v>
      </c>
      <c r="W93" s="70">
        <v>2</v>
      </c>
      <c r="X93" s="57">
        <v>1</v>
      </c>
      <c r="AH93" s="56" t="s">
        <v>255</v>
      </c>
      <c r="AI93" s="56" t="s">
        <v>69</v>
      </c>
      <c r="AJ93" s="56" t="s">
        <v>27</v>
      </c>
      <c r="AK93" s="56">
        <v>4</v>
      </c>
      <c r="AL93" s="57">
        <v>0</v>
      </c>
    </row>
    <row r="94" spans="13:38" ht="15" x14ac:dyDescent="0.3">
      <c r="M94" s="56" t="s">
        <v>255</v>
      </c>
      <c r="N94" s="56" t="s">
        <v>67</v>
      </c>
      <c r="O94" s="56">
        <v>6</v>
      </c>
      <c r="P94" s="70">
        <v>0.3</v>
      </c>
      <c r="Q94" s="70">
        <v>0</v>
      </c>
      <c r="R94" s="70">
        <v>1</v>
      </c>
      <c r="S94" s="171">
        <v>3.4</v>
      </c>
      <c r="T94" s="171">
        <v>7</v>
      </c>
      <c r="U94" s="70">
        <v>0</v>
      </c>
      <c r="V94" s="70">
        <v>10</v>
      </c>
      <c r="W94" s="70">
        <v>5</v>
      </c>
      <c r="X94" s="57">
        <v>5</v>
      </c>
      <c r="AH94" s="56" t="s">
        <v>255</v>
      </c>
      <c r="AI94" s="56" t="s">
        <v>67</v>
      </c>
      <c r="AJ94" s="56" t="s">
        <v>28</v>
      </c>
      <c r="AK94" s="56">
        <v>4</v>
      </c>
      <c r="AL94" s="57">
        <v>3000</v>
      </c>
    </row>
    <row r="95" spans="13:38" ht="15" x14ac:dyDescent="0.3">
      <c r="M95" s="56" t="s">
        <v>588</v>
      </c>
      <c r="N95" s="56" t="s">
        <v>68</v>
      </c>
      <c r="O95" s="56">
        <v>1</v>
      </c>
      <c r="P95" s="70">
        <v>0</v>
      </c>
      <c r="Q95" s="70" t="s">
        <v>97</v>
      </c>
      <c r="R95" s="70">
        <v>1</v>
      </c>
      <c r="S95" s="171">
        <v>4.5</v>
      </c>
      <c r="T95" s="171">
        <v>8</v>
      </c>
      <c r="U95" s="70">
        <v>0</v>
      </c>
      <c r="V95" s="70">
        <v>5</v>
      </c>
      <c r="W95" s="70">
        <v>3</v>
      </c>
      <c r="X95" s="57">
        <v>2</v>
      </c>
      <c r="AH95" s="56" t="s">
        <v>255</v>
      </c>
      <c r="AI95" s="56" t="s">
        <v>68</v>
      </c>
      <c r="AJ95" s="56" t="s">
        <v>25</v>
      </c>
      <c r="AK95" s="56">
        <v>5</v>
      </c>
      <c r="AL95" s="57">
        <v>0</v>
      </c>
    </row>
    <row r="96" spans="13:38" ht="15" x14ac:dyDescent="0.3">
      <c r="M96" s="56" t="s">
        <v>588</v>
      </c>
      <c r="N96" s="56" t="s">
        <v>69</v>
      </c>
      <c r="O96" s="56">
        <v>1</v>
      </c>
      <c r="P96" s="70">
        <v>0</v>
      </c>
      <c r="Q96" s="70">
        <v>0</v>
      </c>
      <c r="R96" s="70">
        <v>1</v>
      </c>
      <c r="S96" s="171">
        <v>6</v>
      </c>
      <c r="T96" s="171">
        <v>10</v>
      </c>
      <c r="U96" s="70">
        <v>0</v>
      </c>
      <c r="V96" s="70">
        <v>2</v>
      </c>
      <c r="W96" s="70">
        <v>1</v>
      </c>
      <c r="X96" s="57">
        <v>1</v>
      </c>
      <c r="AH96" s="56" t="s">
        <v>255</v>
      </c>
      <c r="AI96" s="56" t="s">
        <v>70</v>
      </c>
      <c r="AJ96" s="56" t="s">
        <v>26</v>
      </c>
      <c r="AK96" s="56">
        <v>5</v>
      </c>
      <c r="AL96" s="57">
        <v>0</v>
      </c>
    </row>
    <row r="97" spans="13:38" ht="15" x14ac:dyDescent="0.3">
      <c r="M97" s="56" t="s">
        <v>588</v>
      </c>
      <c r="N97" s="56" t="s">
        <v>70</v>
      </c>
      <c r="O97" s="56">
        <v>1</v>
      </c>
      <c r="P97" s="70">
        <v>0</v>
      </c>
      <c r="Q97" s="70">
        <v>0</v>
      </c>
      <c r="R97" s="70">
        <v>1</v>
      </c>
      <c r="S97" s="171">
        <v>5.5</v>
      </c>
      <c r="T97" s="171">
        <v>9</v>
      </c>
      <c r="U97" s="70">
        <v>0</v>
      </c>
      <c r="V97" s="70">
        <v>2</v>
      </c>
      <c r="W97" s="70">
        <v>1</v>
      </c>
      <c r="X97" s="57">
        <v>1</v>
      </c>
      <c r="AH97" s="56" t="s">
        <v>255</v>
      </c>
      <c r="AI97" s="56" t="s">
        <v>70</v>
      </c>
      <c r="AJ97" s="56" t="s">
        <v>625</v>
      </c>
      <c r="AK97" s="56">
        <v>5</v>
      </c>
      <c r="AL97" s="57">
        <v>200</v>
      </c>
    </row>
    <row r="98" spans="13:38" ht="15" x14ac:dyDescent="0.3">
      <c r="M98" s="56" t="s">
        <v>588</v>
      </c>
      <c r="N98" s="56" t="s">
        <v>71</v>
      </c>
      <c r="O98" s="56">
        <v>1</v>
      </c>
      <c r="P98" s="70">
        <v>0</v>
      </c>
      <c r="Q98" s="70">
        <v>0</v>
      </c>
      <c r="R98" s="70">
        <v>1</v>
      </c>
      <c r="S98" s="171">
        <v>6</v>
      </c>
      <c r="T98" s="171">
        <v>9.5</v>
      </c>
      <c r="U98" s="70">
        <v>0</v>
      </c>
      <c r="V98" s="70">
        <v>3</v>
      </c>
      <c r="W98" s="70">
        <v>2</v>
      </c>
      <c r="X98" s="57">
        <v>1</v>
      </c>
      <c r="AH98" s="56" t="s">
        <v>255</v>
      </c>
      <c r="AI98" s="56" t="s">
        <v>69</v>
      </c>
      <c r="AJ98" s="56" t="s">
        <v>27</v>
      </c>
      <c r="AK98" s="56">
        <v>5</v>
      </c>
      <c r="AL98" s="57">
        <v>0</v>
      </c>
    </row>
    <row r="99" spans="13:38" ht="15" x14ac:dyDescent="0.3">
      <c r="M99" s="56" t="s">
        <v>588</v>
      </c>
      <c r="N99" s="56" t="s">
        <v>67</v>
      </c>
      <c r="O99" s="56">
        <v>1</v>
      </c>
      <c r="P99" s="70">
        <v>0</v>
      </c>
      <c r="Q99" s="70">
        <v>0</v>
      </c>
      <c r="R99" s="70">
        <v>1</v>
      </c>
      <c r="S99" s="171">
        <v>4</v>
      </c>
      <c r="T99" s="171">
        <v>7</v>
      </c>
      <c r="U99" s="134">
        <v>0</v>
      </c>
      <c r="V99" s="70">
        <v>10</v>
      </c>
      <c r="W99" s="70">
        <v>5</v>
      </c>
      <c r="X99" s="57">
        <v>5</v>
      </c>
      <c r="AH99" s="56" t="s">
        <v>255</v>
      </c>
      <c r="AI99" s="56" t="s">
        <v>67</v>
      </c>
      <c r="AJ99" s="56" t="s">
        <v>28</v>
      </c>
      <c r="AK99" s="56">
        <v>5</v>
      </c>
      <c r="AL99" s="57">
        <v>3000</v>
      </c>
    </row>
    <row r="100" spans="13:38" ht="15" x14ac:dyDescent="0.3">
      <c r="M100" s="56" t="s">
        <v>588</v>
      </c>
      <c r="N100" s="56" t="s">
        <v>68</v>
      </c>
      <c r="O100" s="56">
        <v>2</v>
      </c>
      <c r="P100" s="70">
        <v>0</v>
      </c>
      <c r="Q100" s="70">
        <v>0</v>
      </c>
      <c r="R100" s="70">
        <v>1</v>
      </c>
      <c r="S100" s="171">
        <v>4.4000000000000004</v>
      </c>
      <c r="T100" s="171">
        <v>8</v>
      </c>
      <c r="U100" s="70">
        <v>1</v>
      </c>
      <c r="V100" s="70">
        <v>5</v>
      </c>
      <c r="W100" s="70">
        <v>3</v>
      </c>
      <c r="X100" s="57">
        <v>2</v>
      </c>
      <c r="AH100" s="56" t="s">
        <v>255</v>
      </c>
      <c r="AI100" s="56" t="s">
        <v>68</v>
      </c>
      <c r="AJ100" s="56" t="s">
        <v>25</v>
      </c>
      <c r="AK100" s="56">
        <v>6</v>
      </c>
      <c r="AL100" s="57">
        <v>300</v>
      </c>
    </row>
    <row r="101" spans="13:38" ht="15" x14ac:dyDescent="0.3">
      <c r="M101" s="56" t="s">
        <v>588</v>
      </c>
      <c r="N101" s="56" t="s">
        <v>69</v>
      </c>
      <c r="O101" s="56">
        <v>2</v>
      </c>
      <c r="P101" s="70">
        <v>0.3</v>
      </c>
      <c r="Q101" s="70">
        <v>0</v>
      </c>
      <c r="R101" s="70">
        <v>1</v>
      </c>
      <c r="S101" s="171">
        <v>5.8</v>
      </c>
      <c r="T101" s="171">
        <v>10</v>
      </c>
      <c r="U101" s="70">
        <v>0</v>
      </c>
      <c r="V101" s="70">
        <v>2</v>
      </c>
      <c r="W101" s="70">
        <v>1</v>
      </c>
      <c r="X101" s="57">
        <v>1</v>
      </c>
      <c r="AH101" s="56" t="s">
        <v>255</v>
      </c>
      <c r="AI101" s="56" t="s">
        <v>70</v>
      </c>
      <c r="AJ101" s="56" t="s">
        <v>26</v>
      </c>
      <c r="AK101" s="56">
        <v>6</v>
      </c>
      <c r="AL101" s="57">
        <v>30</v>
      </c>
    </row>
    <row r="102" spans="13:38" ht="15" x14ac:dyDescent="0.3">
      <c r="M102" s="56" t="s">
        <v>588</v>
      </c>
      <c r="N102" s="56" t="s">
        <v>70</v>
      </c>
      <c r="O102" s="56">
        <v>2</v>
      </c>
      <c r="P102" s="70">
        <v>0.3</v>
      </c>
      <c r="Q102" s="70">
        <v>0</v>
      </c>
      <c r="R102" s="70">
        <v>1</v>
      </c>
      <c r="S102" s="171">
        <v>5.3</v>
      </c>
      <c r="T102" s="171">
        <v>9</v>
      </c>
      <c r="U102" s="70">
        <v>0</v>
      </c>
      <c r="V102" s="70">
        <v>2</v>
      </c>
      <c r="W102" s="70">
        <v>1</v>
      </c>
      <c r="X102" s="57">
        <v>1</v>
      </c>
      <c r="AH102" s="56" t="s">
        <v>255</v>
      </c>
      <c r="AI102" s="56" t="s">
        <v>70</v>
      </c>
      <c r="AJ102" s="56" t="s">
        <v>625</v>
      </c>
      <c r="AK102" s="56">
        <v>6</v>
      </c>
      <c r="AL102" s="57">
        <v>40</v>
      </c>
    </row>
    <row r="103" spans="13:38" ht="15" x14ac:dyDescent="0.3">
      <c r="M103" s="56" t="s">
        <v>588</v>
      </c>
      <c r="N103" s="56" t="s">
        <v>71</v>
      </c>
      <c r="O103" s="56">
        <v>2</v>
      </c>
      <c r="P103" s="70">
        <v>0.3</v>
      </c>
      <c r="Q103" s="70">
        <v>0</v>
      </c>
      <c r="R103" s="70">
        <v>1</v>
      </c>
      <c r="S103" s="171">
        <v>5.8</v>
      </c>
      <c r="T103" s="171">
        <v>9.5</v>
      </c>
      <c r="U103" s="70">
        <v>0</v>
      </c>
      <c r="V103" s="70">
        <v>3</v>
      </c>
      <c r="W103" s="70">
        <v>2</v>
      </c>
      <c r="X103" s="57">
        <v>1</v>
      </c>
      <c r="AH103" s="56" t="s">
        <v>255</v>
      </c>
      <c r="AI103" s="56" t="s">
        <v>69</v>
      </c>
      <c r="AJ103" s="56" t="s">
        <v>27</v>
      </c>
      <c r="AK103" s="56">
        <v>6</v>
      </c>
      <c r="AL103" s="57">
        <v>18</v>
      </c>
    </row>
    <row r="104" spans="13:38" ht="15" x14ac:dyDescent="0.3">
      <c r="M104" s="56" t="s">
        <v>588</v>
      </c>
      <c r="N104" s="56" t="s">
        <v>67</v>
      </c>
      <c r="O104" s="56">
        <v>2</v>
      </c>
      <c r="P104" s="70">
        <v>0.3</v>
      </c>
      <c r="Q104" s="70">
        <v>0</v>
      </c>
      <c r="R104" s="70">
        <v>1</v>
      </c>
      <c r="S104" s="171">
        <v>3.8</v>
      </c>
      <c r="T104" s="171">
        <v>7</v>
      </c>
      <c r="U104" s="70">
        <v>0</v>
      </c>
      <c r="V104" s="70">
        <v>10</v>
      </c>
      <c r="W104" s="70">
        <v>5</v>
      </c>
      <c r="X104" s="57">
        <v>5</v>
      </c>
      <c r="AH104" s="56" t="s">
        <v>255</v>
      </c>
      <c r="AI104" s="56" t="s">
        <v>67</v>
      </c>
      <c r="AJ104" s="56" t="s">
        <v>28</v>
      </c>
      <c r="AK104" s="56">
        <v>6</v>
      </c>
      <c r="AL104" s="57">
        <v>3000</v>
      </c>
    </row>
    <row r="105" spans="13:38" ht="15" x14ac:dyDescent="0.3">
      <c r="M105" s="56" t="s">
        <v>588</v>
      </c>
      <c r="N105" s="56" t="s">
        <v>68</v>
      </c>
      <c r="O105" s="56">
        <v>3</v>
      </c>
      <c r="P105" s="70">
        <v>0.3</v>
      </c>
      <c r="Q105" s="70">
        <v>0</v>
      </c>
      <c r="R105" s="70">
        <v>1</v>
      </c>
      <c r="S105" s="171">
        <v>4.3</v>
      </c>
      <c r="T105" s="171">
        <v>8</v>
      </c>
      <c r="U105" s="70">
        <v>0</v>
      </c>
      <c r="V105" s="70">
        <v>5</v>
      </c>
      <c r="W105" s="70">
        <v>3</v>
      </c>
      <c r="X105" s="57">
        <v>2</v>
      </c>
      <c r="AH105" s="56" t="s">
        <v>255</v>
      </c>
      <c r="AI105" s="56" t="s">
        <v>68</v>
      </c>
      <c r="AJ105" s="56" t="s">
        <v>25</v>
      </c>
      <c r="AK105" s="56">
        <v>7</v>
      </c>
      <c r="AL105" s="57">
        <v>300</v>
      </c>
    </row>
    <row r="106" spans="13:38" ht="15" x14ac:dyDescent="0.3">
      <c r="M106" s="56" t="s">
        <v>588</v>
      </c>
      <c r="N106" s="56" t="s">
        <v>69</v>
      </c>
      <c r="O106" s="56">
        <v>3</v>
      </c>
      <c r="P106" s="70">
        <v>0.3</v>
      </c>
      <c r="Q106" s="70">
        <v>0</v>
      </c>
      <c r="R106" s="70">
        <v>1</v>
      </c>
      <c r="S106" s="171">
        <v>5.6</v>
      </c>
      <c r="T106" s="171">
        <v>10</v>
      </c>
      <c r="U106" s="70">
        <v>2</v>
      </c>
      <c r="V106" s="70">
        <v>2</v>
      </c>
      <c r="W106" s="70">
        <v>1</v>
      </c>
      <c r="X106" s="57">
        <v>1</v>
      </c>
      <c r="AH106" s="56" t="s">
        <v>255</v>
      </c>
      <c r="AI106" s="56" t="s">
        <v>70</v>
      </c>
      <c r="AJ106" s="56" t="s">
        <v>26</v>
      </c>
      <c r="AK106" s="56">
        <v>7</v>
      </c>
      <c r="AL106" s="57">
        <v>30</v>
      </c>
    </row>
    <row r="107" spans="13:38" ht="15" x14ac:dyDescent="0.3">
      <c r="M107" s="56" t="s">
        <v>588</v>
      </c>
      <c r="N107" s="56" t="s">
        <v>70</v>
      </c>
      <c r="O107" s="56">
        <v>3</v>
      </c>
      <c r="P107" s="70">
        <v>0.3</v>
      </c>
      <c r="Q107" s="70">
        <v>0</v>
      </c>
      <c r="R107" s="70">
        <v>1</v>
      </c>
      <c r="S107" s="171">
        <v>5.0999999999999996</v>
      </c>
      <c r="T107" s="171">
        <v>9</v>
      </c>
      <c r="U107" s="70">
        <v>0</v>
      </c>
      <c r="V107" s="70">
        <v>2</v>
      </c>
      <c r="W107" s="70">
        <v>1</v>
      </c>
      <c r="X107" s="57">
        <v>1</v>
      </c>
      <c r="AH107" s="56" t="s">
        <v>255</v>
      </c>
      <c r="AI107" s="56" t="s">
        <v>70</v>
      </c>
      <c r="AJ107" s="56" t="s">
        <v>625</v>
      </c>
      <c r="AK107" s="56">
        <v>7</v>
      </c>
      <c r="AL107" s="57">
        <v>200</v>
      </c>
    </row>
    <row r="108" spans="13:38" ht="15" x14ac:dyDescent="0.3">
      <c r="M108" s="56" t="s">
        <v>588</v>
      </c>
      <c r="N108" s="56" t="s">
        <v>71</v>
      </c>
      <c r="O108" s="56">
        <v>3</v>
      </c>
      <c r="P108" s="70">
        <v>0.3</v>
      </c>
      <c r="Q108" s="70">
        <v>0</v>
      </c>
      <c r="R108" s="70">
        <v>1</v>
      </c>
      <c r="S108" s="171">
        <v>5.6</v>
      </c>
      <c r="T108" s="171">
        <v>9.5</v>
      </c>
      <c r="U108" s="70">
        <v>0</v>
      </c>
      <c r="V108" s="70">
        <v>3</v>
      </c>
      <c r="W108" s="70">
        <v>2</v>
      </c>
      <c r="X108" s="57">
        <v>1</v>
      </c>
      <c r="AH108" s="56" t="s">
        <v>255</v>
      </c>
      <c r="AI108" s="56" t="s">
        <v>69</v>
      </c>
      <c r="AJ108" s="56" t="s">
        <v>27</v>
      </c>
      <c r="AK108" s="56">
        <v>7</v>
      </c>
      <c r="AL108" s="57">
        <v>18</v>
      </c>
    </row>
    <row r="109" spans="13:38" ht="15" x14ac:dyDescent="0.3">
      <c r="M109" s="56" t="s">
        <v>588</v>
      </c>
      <c r="N109" s="56" t="s">
        <v>67</v>
      </c>
      <c r="O109" s="56">
        <v>3</v>
      </c>
      <c r="P109" s="70">
        <v>0.3</v>
      </c>
      <c r="Q109" s="70">
        <v>0</v>
      </c>
      <c r="R109" s="70">
        <v>1</v>
      </c>
      <c r="S109" s="171">
        <v>3.7</v>
      </c>
      <c r="T109" s="171">
        <v>7</v>
      </c>
      <c r="U109" s="134">
        <v>0</v>
      </c>
      <c r="V109" s="70">
        <v>10</v>
      </c>
      <c r="W109" s="70">
        <v>5</v>
      </c>
      <c r="X109" s="57">
        <v>5</v>
      </c>
      <c r="AH109" s="56" t="s">
        <v>255</v>
      </c>
      <c r="AI109" s="56" t="s">
        <v>67</v>
      </c>
      <c r="AJ109" s="56" t="s">
        <v>28</v>
      </c>
      <c r="AK109" s="56">
        <v>7</v>
      </c>
      <c r="AL109" s="57">
        <v>1200</v>
      </c>
    </row>
    <row r="110" spans="13:38" ht="15" x14ac:dyDescent="0.3">
      <c r="M110" s="56" t="s">
        <v>588</v>
      </c>
      <c r="N110" s="56" t="s">
        <v>68</v>
      </c>
      <c r="O110" s="56">
        <v>4</v>
      </c>
      <c r="P110" s="70">
        <v>0.3</v>
      </c>
      <c r="Q110" s="70">
        <v>0</v>
      </c>
      <c r="R110" s="70">
        <v>1</v>
      </c>
      <c r="S110" s="171">
        <v>4.2</v>
      </c>
      <c r="T110" s="171">
        <v>8</v>
      </c>
      <c r="U110" s="134">
        <v>0</v>
      </c>
      <c r="V110" s="70">
        <v>5</v>
      </c>
      <c r="W110" s="70">
        <v>3</v>
      </c>
      <c r="X110" s="57">
        <v>2</v>
      </c>
      <c r="AH110" s="56" t="s">
        <v>588</v>
      </c>
      <c r="AI110" s="56" t="s">
        <v>68</v>
      </c>
      <c r="AJ110" s="56" t="s">
        <v>25</v>
      </c>
      <c r="AK110" s="56">
        <v>1</v>
      </c>
      <c r="AL110" s="57">
        <v>0</v>
      </c>
    </row>
    <row r="111" spans="13:38" ht="15" x14ac:dyDescent="0.3">
      <c r="M111" s="56" t="s">
        <v>588</v>
      </c>
      <c r="N111" s="56" t="s">
        <v>69</v>
      </c>
      <c r="O111" s="56">
        <v>4</v>
      </c>
      <c r="P111" s="70">
        <v>0.3</v>
      </c>
      <c r="Q111" s="70">
        <v>0</v>
      </c>
      <c r="R111" s="70">
        <v>1</v>
      </c>
      <c r="S111" s="171">
        <v>5.5</v>
      </c>
      <c r="T111" s="171">
        <v>10</v>
      </c>
      <c r="U111" s="134">
        <v>0</v>
      </c>
      <c r="V111" s="70">
        <v>2</v>
      </c>
      <c r="W111" s="70">
        <v>1</v>
      </c>
      <c r="X111" s="57">
        <v>1</v>
      </c>
      <c r="AH111" s="56" t="s">
        <v>588</v>
      </c>
      <c r="AI111" s="56" t="s">
        <v>70</v>
      </c>
      <c r="AJ111" s="56" t="s">
        <v>26</v>
      </c>
      <c r="AK111" s="56">
        <v>1</v>
      </c>
      <c r="AL111" s="57">
        <v>0</v>
      </c>
    </row>
    <row r="112" spans="13:38" ht="15" x14ac:dyDescent="0.3">
      <c r="M112" s="56" t="s">
        <v>588</v>
      </c>
      <c r="N112" s="56" t="s">
        <v>70</v>
      </c>
      <c r="O112" s="56">
        <v>4</v>
      </c>
      <c r="P112" s="70">
        <v>0.3</v>
      </c>
      <c r="Q112" s="70">
        <v>0</v>
      </c>
      <c r="R112" s="70">
        <v>1</v>
      </c>
      <c r="S112" s="171">
        <v>5</v>
      </c>
      <c r="T112" s="171">
        <v>9</v>
      </c>
      <c r="U112" s="134">
        <v>0</v>
      </c>
      <c r="V112" s="70">
        <v>2</v>
      </c>
      <c r="W112" s="70">
        <v>1</v>
      </c>
      <c r="X112" s="57">
        <v>1</v>
      </c>
      <c r="AH112" s="56" t="s">
        <v>588</v>
      </c>
      <c r="AI112" s="56" t="s">
        <v>71</v>
      </c>
      <c r="AJ112" s="56" t="s">
        <v>625</v>
      </c>
      <c r="AK112" s="56">
        <v>1</v>
      </c>
      <c r="AL112" s="57">
        <v>0</v>
      </c>
    </row>
    <row r="113" spans="13:38" ht="15" x14ac:dyDescent="0.3">
      <c r="M113" s="56" t="s">
        <v>588</v>
      </c>
      <c r="N113" s="56" t="s">
        <v>71</v>
      </c>
      <c r="O113" s="56">
        <v>4</v>
      </c>
      <c r="P113" s="70">
        <v>0.3</v>
      </c>
      <c r="Q113" s="70">
        <v>0</v>
      </c>
      <c r="R113" s="70">
        <v>1</v>
      </c>
      <c r="S113" s="171">
        <v>5.5</v>
      </c>
      <c r="T113" s="171">
        <v>9.5</v>
      </c>
      <c r="U113" s="70">
        <v>0</v>
      </c>
      <c r="V113" s="70">
        <v>3</v>
      </c>
      <c r="W113" s="70">
        <v>2</v>
      </c>
      <c r="X113" s="57">
        <v>1</v>
      </c>
      <c r="AH113" s="56" t="s">
        <v>588</v>
      </c>
      <c r="AI113" s="56" t="s">
        <v>69</v>
      </c>
      <c r="AJ113" s="56" t="s">
        <v>27</v>
      </c>
      <c r="AK113" s="56">
        <v>1</v>
      </c>
      <c r="AL113" s="57">
        <v>0</v>
      </c>
    </row>
    <row r="114" spans="13:38" ht="15" x14ac:dyDescent="0.3">
      <c r="M114" s="56" t="s">
        <v>588</v>
      </c>
      <c r="N114" s="56" t="s">
        <v>67</v>
      </c>
      <c r="O114" s="56">
        <v>4</v>
      </c>
      <c r="P114" s="70">
        <v>0.3</v>
      </c>
      <c r="Q114" s="70">
        <v>0</v>
      </c>
      <c r="R114" s="70">
        <v>1</v>
      </c>
      <c r="S114" s="171">
        <v>3.6</v>
      </c>
      <c r="T114" s="171">
        <v>7</v>
      </c>
      <c r="U114" s="70">
        <v>0</v>
      </c>
      <c r="V114" s="70">
        <v>10</v>
      </c>
      <c r="W114" s="70">
        <v>5</v>
      </c>
      <c r="X114" s="57">
        <v>5</v>
      </c>
      <c r="AH114" s="56" t="s">
        <v>588</v>
      </c>
      <c r="AI114" s="56" t="s">
        <v>67</v>
      </c>
      <c r="AJ114" s="56" t="s">
        <v>28</v>
      </c>
      <c r="AK114" s="56">
        <v>1</v>
      </c>
      <c r="AL114" s="57">
        <v>0</v>
      </c>
    </row>
    <row r="115" spans="13:38" ht="15" x14ac:dyDescent="0.3">
      <c r="M115" s="56" t="s">
        <v>588</v>
      </c>
      <c r="N115" s="56" t="s">
        <v>68</v>
      </c>
      <c r="O115" s="56">
        <v>5</v>
      </c>
      <c r="P115" s="70">
        <v>0.3</v>
      </c>
      <c r="Q115" s="70">
        <v>0</v>
      </c>
      <c r="R115" s="70">
        <v>1</v>
      </c>
      <c r="S115" s="171">
        <v>4.0999999999999996</v>
      </c>
      <c r="T115" s="171">
        <v>8</v>
      </c>
      <c r="U115" s="70">
        <v>0</v>
      </c>
      <c r="V115" s="70">
        <v>5</v>
      </c>
      <c r="W115" s="70">
        <v>3</v>
      </c>
      <c r="X115" s="57">
        <v>2</v>
      </c>
      <c r="AH115" s="56" t="s">
        <v>588</v>
      </c>
      <c r="AI115" s="56" t="s">
        <v>68</v>
      </c>
      <c r="AJ115" s="56" t="s">
        <v>25</v>
      </c>
      <c r="AK115" s="56">
        <v>2</v>
      </c>
      <c r="AL115" s="57">
        <v>0</v>
      </c>
    </row>
    <row r="116" spans="13:38" ht="15" x14ac:dyDescent="0.3">
      <c r="M116" s="56" t="s">
        <v>588</v>
      </c>
      <c r="N116" s="56" t="s">
        <v>69</v>
      </c>
      <c r="O116" s="56">
        <v>5</v>
      </c>
      <c r="P116" s="70">
        <v>0.3</v>
      </c>
      <c r="Q116" s="70">
        <v>0</v>
      </c>
      <c r="R116" s="70">
        <v>1</v>
      </c>
      <c r="S116" s="171">
        <v>5.4</v>
      </c>
      <c r="T116" s="171">
        <v>10</v>
      </c>
      <c r="U116" s="70">
        <v>0</v>
      </c>
      <c r="V116" s="70">
        <v>2</v>
      </c>
      <c r="W116" s="70">
        <v>1</v>
      </c>
      <c r="X116" s="57">
        <v>1</v>
      </c>
      <c r="AH116" s="56" t="s">
        <v>588</v>
      </c>
      <c r="AI116" s="56" t="s">
        <v>70</v>
      </c>
      <c r="AJ116" s="56" t="s">
        <v>26</v>
      </c>
      <c r="AK116" s="56">
        <v>2</v>
      </c>
      <c r="AL116" s="57">
        <v>0</v>
      </c>
    </row>
    <row r="117" spans="13:38" ht="15" x14ac:dyDescent="0.3">
      <c r="M117" s="56" t="s">
        <v>588</v>
      </c>
      <c r="N117" s="56" t="s">
        <v>70</v>
      </c>
      <c r="O117" s="56">
        <v>5</v>
      </c>
      <c r="P117" s="70">
        <v>0.3</v>
      </c>
      <c r="Q117" s="70">
        <v>0</v>
      </c>
      <c r="R117" s="70">
        <v>1</v>
      </c>
      <c r="S117" s="171">
        <v>4.9000000000000004</v>
      </c>
      <c r="T117" s="171">
        <v>9</v>
      </c>
      <c r="U117" s="70">
        <v>0</v>
      </c>
      <c r="V117" s="70">
        <v>2</v>
      </c>
      <c r="W117" s="70">
        <v>1</v>
      </c>
      <c r="X117" s="57">
        <v>1</v>
      </c>
      <c r="AH117" s="56" t="s">
        <v>588</v>
      </c>
      <c r="AI117" s="56" t="s">
        <v>70</v>
      </c>
      <c r="AJ117" s="56" t="s">
        <v>625</v>
      </c>
      <c r="AK117" s="56">
        <v>2</v>
      </c>
      <c r="AL117" s="57">
        <v>200</v>
      </c>
    </row>
    <row r="118" spans="13:38" ht="15" x14ac:dyDescent="0.3">
      <c r="M118" s="56" t="s">
        <v>588</v>
      </c>
      <c r="N118" s="56" t="s">
        <v>71</v>
      </c>
      <c r="O118" s="56">
        <v>5</v>
      </c>
      <c r="P118" s="70">
        <v>0.3</v>
      </c>
      <c r="Q118" s="70">
        <v>0</v>
      </c>
      <c r="R118" s="70">
        <v>1</v>
      </c>
      <c r="S118" s="171">
        <v>5.4</v>
      </c>
      <c r="T118" s="171">
        <v>9.5</v>
      </c>
      <c r="U118" s="70">
        <v>0</v>
      </c>
      <c r="V118" s="70">
        <v>3</v>
      </c>
      <c r="W118" s="70">
        <v>2</v>
      </c>
      <c r="X118" s="57">
        <v>1</v>
      </c>
      <c r="AH118" s="56" t="s">
        <v>588</v>
      </c>
      <c r="AI118" s="56" t="s">
        <v>69</v>
      </c>
      <c r="AJ118" s="56" t="s">
        <v>27</v>
      </c>
      <c r="AK118" s="56">
        <v>2</v>
      </c>
      <c r="AL118" s="57">
        <v>20</v>
      </c>
    </row>
    <row r="119" spans="13:38" ht="15" x14ac:dyDescent="0.3">
      <c r="M119" s="56" t="s">
        <v>588</v>
      </c>
      <c r="N119" s="56" t="s">
        <v>67</v>
      </c>
      <c r="O119" s="56">
        <v>5</v>
      </c>
      <c r="P119" s="70">
        <v>0.3</v>
      </c>
      <c r="Q119" s="70">
        <v>0</v>
      </c>
      <c r="R119" s="70">
        <v>1</v>
      </c>
      <c r="S119" s="171">
        <v>3.5</v>
      </c>
      <c r="T119" s="171">
        <v>7</v>
      </c>
      <c r="U119" s="70">
        <v>0</v>
      </c>
      <c r="V119" s="70">
        <v>10</v>
      </c>
      <c r="W119" s="70">
        <v>5</v>
      </c>
      <c r="X119" s="57">
        <v>5</v>
      </c>
      <c r="AH119" s="56" t="s">
        <v>588</v>
      </c>
      <c r="AI119" s="56" t="s">
        <v>67</v>
      </c>
      <c r="AJ119" s="56" t="s">
        <v>28</v>
      </c>
      <c r="AK119" s="56">
        <v>2</v>
      </c>
      <c r="AL119" s="57">
        <v>3000</v>
      </c>
    </row>
    <row r="120" spans="13:38" ht="15" x14ac:dyDescent="0.3">
      <c r="M120" s="56" t="s">
        <v>588</v>
      </c>
      <c r="N120" s="56" t="s">
        <v>68</v>
      </c>
      <c r="O120" s="56">
        <v>6</v>
      </c>
      <c r="P120" s="70">
        <v>0.3</v>
      </c>
      <c r="Q120" s="70">
        <v>0</v>
      </c>
      <c r="R120" s="70">
        <v>1</v>
      </c>
      <c r="S120" s="171">
        <v>4</v>
      </c>
      <c r="T120" s="171">
        <v>8</v>
      </c>
      <c r="U120" s="70">
        <v>0</v>
      </c>
      <c r="V120" s="70">
        <v>5</v>
      </c>
      <c r="W120" s="70">
        <v>3</v>
      </c>
      <c r="X120" s="57">
        <v>2</v>
      </c>
      <c r="AH120" s="56" t="s">
        <v>588</v>
      </c>
      <c r="AI120" s="56" t="s">
        <v>68</v>
      </c>
      <c r="AJ120" s="56" t="s">
        <v>25</v>
      </c>
      <c r="AK120" s="56">
        <v>3</v>
      </c>
      <c r="AL120" s="57">
        <v>0</v>
      </c>
    </row>
    <row r="121" spans="13:38" ht="15" x14ac:dyDescent="0.3">
      <c r="M121" s="56" t="s">
        <v>588</v>
      </c>
      <c r="N121" s="56" t="s">
        <v>69</v>
      </c>
      <c r="O121" s="56">
        <v>6</v>
      </c>
      <c r="P121" s="70">
        <v>0.3</v>
      </c>
      <c r="Q121" s="70">
        <v>0</v>
      </c>
      <c r="R121" s="70">
        <v>1</v>
      </c>
      <c r="S121" s="171">
        <v>5.3</v>
      </c>
      <c r="T121" s="171">
        <v>10</v>
      </c>
      <c r="U121" s="70">
        <v>0</v>
      </c>
      <c r="V121" s="70">
        <v>2</v>
      </c>
      <c r="W121" s="70">
        <v>1</v>
      </c>
      <c r="X121" s="57">
        <v>1</v>
      </c>
      <c r="AH121" s="56" t="s">
        <v>588</v>
      </c>
      <c r="AI121" s="56" t="s">
        <v>70</v>
      </c>
      <c r="AJ121" s="56" t="s">
        <v>26</v>
      </c>
      <c r="AK121" s="56">
        <v>3</v>
      </c>
      <c r="AL121" s="57">
        <v>30</v>
      </c>
    </row>
    <row r="122" spans="13:38" ht="15" x14ac:dyDescent="0.3">
      <c r="M122" s="56" t="s">
        <v>588</v>
      </c>
      <c r="N122" s="56" t="s">
        <v>70</v>
      </c>
      <c r="O122" s="56">
        <v>6</v>
      </c>
      <c r="P122" s="70">
        <v>0.3</v>
      </c>
      <c r="Q122" s="70">
        <v>0</v>
      </c>
      <c r="R122" s="70">
        <v>1</v>
      </c>
      <c r="S122" s="171">
        <v>4.8</v>
      </c>
      <c r="T122" s="171">
        <v>9</v>
      </c>
      <c r="U122" s="70">
        <v>0</v>
      </c>
      <c r="V122" s="70">
        <v>2</v>
      </c>
      <c r="W122" s="70">
        <v>1</v>
      </c>
      <c r="X122" s="57">
        <v>1</v>
      </c>
      <c r="AH122" s="56" t="s">
        <v>588</v>
      </c>
      <c r="AI122" s="56" t="s">
        <v>70</v>
      </c>
      <c r="AJ122" s="56" t="s">
        <v>625</v>
      </c>
      <c r="AK122" s="56">
        <v>3</v>
      </c>
      <c r="AL122" s="57">
        <v>200</v>
      </c>
    </row>
    <row r="123" spans="13:38" ht="15" x14ac:dyDescent="0.3">
      <c r="M123" s="56" t="s">
        <v>588</v>
      </c>
      <c r="N123" s="56" t="s">
        <v>71</v>
      </c>
      <c r="O123" s="56">
        <v>6</v>
      </c>
      <c r="P123" s="70">
        <v>0.3</v>
      </c>
      <c r="Q123" s="70">
        <v>0</v>
      </c>
      <c r="R123" s="70">
        <v>1</v>
      </c>
      <c r="S123" s="171">
        <v>5.3</v>
      </c>
      <c r="T123" s="171">
        <v>9.5</v>
      </c>
      <c r="U123" s="70">
        <v>0</v>
      </c>
      <c r="V123" s="70">
        <v>3</v>
      </c>
      <c r="W123" s="70">
        <v>2</v>
      </c>
      <c r="X123" s="57">
        <v>1</v>
      </c>
      <c r="AH123" s="56" t="s">
        <v>588</v>
      </c>
      <c r="AI123" s="56" t="s">
        <v>69</v>
      </c>
      <c r="AJ123" s="56" t="s">
        <v>27</v>
      </c>
      <c r="AK123" s="56">
        <v>3</v>
      </c>
      <c r="AL123" s="57">
        <v>0</v>
      </c>
    </row>
    <row r="124" spans="13:38" ht="15" x14ac:dyDescent="0.3">
      <c r="M124" s="56" t="s">
        <v>588</v>
      </c>
      <c r="N124" s="56" t="s">
        <v>67</v>
      </c>
      <c r="O124" s="56">
        <v>6</v>
      </c>
      <c r="P124" s="70">
        <v>0.3</v>
      </c>
      <c r="Q124" s="70">
        <v>0</v>
      </c>
      <c r="R124" s="70">
        <v>1</v>
      </c>
      <c r="S124" s="171">
        <v>3.4</v>
      </c>
      <c r="T124" s="171">
        <v>7</v>
      </c>
      <c r="U124" s="70">
        <v>0</v>
      </c>
      <c r="V124" s="70">
        <v>10</v>
      </c>
      <c r="W124" s="70">
        <v>5</v>
      </c>
      <c r="X124" s="57">
        <v>5</v>
      </c>
      <c r="AH124" s="56" t="s">
        <v>588</v>
      </c>
      <c r="AI124" s="56" t="s">
        <v>67</v>
      </c>
      <c r="AJ124" s="56" t="s">
        <v>28</v>
      </c>
      <c r="AK124" s="56">
        <v>3</v>
      </c>
      <c r="AL124" s="57">
        <v>3000</v>
      </c>
    </row>
    <row r="125" spans="13:38" ht="15" x14ac:dyDescent="0.3">
      <c r="AH125" s="56" t="s">
        <v>588</v>
      </c>
      <c r="AI125" s="56" t="s">
        <v>68</v>
      </c>
      <c r="AJ125" s="56" t="s">
        <v>25</v>
      </c>
      <c r="AK125" s="56">
        <v>4</v>
      </c>
      <c r="AL125" s="57">
        <v>0</v>
      </c>
    </row>
    <row r="126" spans="13:38" ht="15" x14ac:dyDescent="0.3">
      <c r="AH126" s="56" t="s">
        <v>588</v>
      </c>
      <c r="AI126" s="56" t="s">
        <v>70</v>
      </c>
      <c r="AJ126" s="56" t="s">
        <v>26</v>
      </c>
      <c r="AK126" s="56">
        <v>4</v>
      </c>
      <c r="AL126" s="57">
        <v>0</v>
      </c>
    </row>
    <row r="127" spans="13:38" ht="15" x14ac:dyDescent="0.3">
      <c r="AH127" s="56" t="s">
        <v>588</v>
      </c>
      <c r="AI127" s="56" t="s">
        <v>70</v>
      </c>
      <c r="AJ127" s="56" t="s">
        <v>625</v>
      </c>
      <c r="AK127" s="56">
        <v>4</v>
      </c>
      <c r="AL127" s="57">
        <v>200</v>
      </c>
    </row>
    <row r="128" spans="13:38" ht="15" x14ac:dyDescent="0.3">
      <c r="AH128" s="56" t="s">
        <v>588</v>
      </c>
      <c r="AI128" s="56" t="s">
        <v>69</v>
      </c>
      <c r="AJ128" s="56" t="s">
        <v>27</v>
      </c>
      <c r="AK128" s="56">
        <v>4</v>
      </c>
      <c r="AL128" s="57">
        <v>0</v>
      </c>
    </row>
    <row r="129" spans="34:38" ht="15" x14ac:dyDescent="0.3">
      <c r="AH129" s="56" t="s">
        <v>588</v>
      </c>
      <c r="AI129" s="56" t="s">
        <v>67</v>
      </c>
      <c r="AJ129" s="56" t="s">
        <v>28</v>
      </c>
      <c r="AK129" s="56">
        <v>4</v>
      </c>
      <c r="AL129" s="57">
        <v>3000</v>
      </c>
    </row>
    <row r="130" spans="34:38" ht="15" x14ac:dyDescent="0.3">
      <c r="AH130" s="56" t="s">
        <v>588</v>
      </c>
      <c r="AI130" s="56" t="s">
        <v>68</v>
      </c>
      <c r="AJ130" s="56" t="s">
        <v>25</v>
      </c>
      <c r="AK130" s="56">
        <v>5</v>
      </c>
      <c r="AL130" s="57">
        <v>0</v>
      </c>
    </row>
    <row r="131" spans="34:38" ht="15" x14ac:dyDescent="0.3">
      <c r="AH131" s="56" t="s">
        <v>588</v>
      </c>
      <c r="AI131" s="56" t="s">
        <v>70</v>
      </c>
      <c r="AJ131" s="56" t="s">
        <v>26</v>
      </c>
      <c r="AK131" s="56">
        <v>5</v>
      </c>
      <c r="AL131" s="57">
        <v>0</v>
      </c>
    </row>
    <row r="132" spans="34:38" ht="15" x14ac:dyDescent="0.3">
      <c r="AH132" s="56" t="s">
        <v>588</v>
      </c>
      <c r="AI132" s="56" t="s">
        <v>70</v>
      </c>
      <c r="AJ132" s="56" t="s">
        <v>625</v>
      </c>
      <c r="AK132" s="56">
        <v>5</v>
      </c>
      <c r="AL132" s="57">
        <v>200</v>
      </c>
    </row>
    <row r="133" spans="34:38" ht="15" x14ac:dyDescent="0.3">
      <c r="AH133" s="56" t="s">
        <v>588</v>
      </c>
      <c r="AI133" s="56" t="s">
        <v>69</v>
      </c>
      <c r="AJ133" s="56" t="s">
        <v>27</v>
      </c>
      <c r="AK133" s="56">
        <v>5</v>
      </c>
      <c r="AL133" s="57">
        <v>0</v>
      </c>
    </row>
    <row r="134" spans="34:38" ht="15" x14ac:dyDescent="0.3">
      <c r="AH134" s="56" t="s">
        <v>588</v>
      </c>
      <c r="AI134" s="56" t="s">
        <v>67</v>
      </c>
      <c r="AJ134" s="56" t="s">
        <v>28</v>
      </c>
      <c r="AK134" s="56">
        <v>5</v>
      </c>
      <c r="AL134" s="57">
        <v>3000</v>
      </c>
    </row>
    <row r="135" spans="34:38" ht="15" x14ac:dyDescent="0.3">
      <c r="AH135" s="56" t="s">
        <v>588</v>
      </c>
      <c r="AI135" s="56" t="s">
        <v>68</v>
      </c>
      <c r="AJ135" s="56" t="s">
        <v>25</v>
      </c>
      <c r="AK135" s="56">
        <v>6</v>
      </c>
      <c r="AL135" s="57">
        <v>300</v>
      </c>
    </row>
    <row r="136" spans="34:38" ht="15" x14ac:dyDescent="0.3">
      <c r="AH136" s="56" t="s">
        <v>588</v>
      </c>
      <c r="AI136" s="56" t="s">
        <v>70</v>
      </c>
      <c r="AJ136" s="56" t="s">
        <v>26</v>
      </c>
      <c r="AK136" s="56">
        <v>6</v>
      </c>
      <c r="AL136" s="57">
        <v>30</v>
      </c>
    </row>
    <row r="137" spans="34:38" ht="15" x14ac:dyDescent="0.3">
      <c r="AH137" s="56" t="s">
        <v>588</v>
      </c>
      <c r="AI137" s="56" t="s">
        <v>70</v>
      </c>
      <c r="AJ137" s="56" t="s">
        <v>625</v>
      </c>
      <c r="AK137" s="56">
        <v>6</v>
      </c>
      <c r="AL137" s="57">
        <v>40</v>
      </c>
    </row>
    <row r="138" spans="34:38" ht="15" x14ac:dyDescent="0.3">
      <c r="AH138" s="56" t="s">
        <v>588</v>
      </c>
      <c r="AI138" s="56" t="s">
        <v>69</v>
      </c>
      <c r="AJ138" s="56" t="s">
        <v>27</v>
      </c>
      <c r="AK138" s="56">
        <v>6</v>
      </c>
      <c r="AL138" s="57">
        <v>18</v>
      </c>
    </row>
    <row r="139" spans="34:38" ht="15" x14ac:dyDescent="0.3">
      <c r="AH139" s="56" t="s">
        <v>588</v>
      </c>
      <c r="AI139" s="56" t="s">
        <v>67</v>
      </c>
      <c r="AJ139" s="56" t="s">
        <v>28</v>
      </c>
      <c r="AK139" s="56">
        <v>6</v>
      </c>
      <c r="AL139" s="57">
        <v>3000</v>
      </c>
    </row>
    <row r="140" spans="34:38" ht="15" x14ac:dyDescent="0.3">
      <c r="AH140" s="56" t="s">
        <v>588</v>
      </c>
      <c r="AI140" s="56" t="s">
        <v>68</v>
      </c>
      <c r="AJ140" s="56" t="s">
        <v>25</v>
      </c>
      <c r="AK140" s="56">
        <v>7</v>
      </c>
      <c r="AL140" s="57">
        <v>300</v>
      </c>
    </row>
    <row r="141" spans="34:38" ht="15" x14ac:dyDescent="0.3">
      <c r="AH141" s="56" t="s">
        <v>588</v>
      </c>
      <c r="AI141" s="56" t="s">
        <v>70</v>
      </c>
      <c r="AJ141" s="56" t="s">
        <v>26</v>
      </c>
      <c r="AK141" s="56">
        <v>7</v>
      </c>
      <c r="AL141" s="57">
        <v>30</v>
      </c>
    </row>
    <row r="142" spans="34:38" ht="15" x14ac:dyDescent="0.3">
      <c r="AH142" s="56" t="s">
        <v>588</v>
      </c>
      <c r="AI142" s="56" t="s">
        <v>70</v>
      </c>
      <c r="AJ142" s="56" t="s">
        <v>625</v>
      </c>
      <c r="AK142" s="56">
        <v>7</v>
      </c>
      <c r="AL142" s="57">
        <v>200</v>
      </c>
    </row>
    <row r="143" spans="34:38" ht="15" x14ac:dyDescent="0.3">
      <c r="AH143" s="56" t="s">
        <v>588</v>
      </c>
      <c r="AI143" s="56" t="s">
        <v>69</v>
      </c>
      <c r="AJ143" s="56" t="s">
        <v>27</v>
      </c>
      <c r="AK143" s="56">
        <v>7</v>
      </c>
      <c r="AL143" s="57">
        <v>18</v>
      </c>
    </row>
    <row r="144" spans="34:38" ht="15" x14ac:dyDescent="0.3">
      <c r="AH144" s="56" t="s">
        <v>588</v>
      </c>
      <c r="AI144" s="56" t="s">
        <v>67</v>
      </c>
      <c r="AJ144" s="56" t="s">
        <v>28</v>
      </c>
      <c r="AK144" s="56">
        <v>7</v>
      </c>
      <c r="AL144" s="57">
        <v>1200</v>
      </c>
    </row>
  </sheetData>
  <autoFilter ref="M4:X39" xr:uid="{C9FB64BB-8D4B-4B23-A5E6-118520241A51}"/>
  <mergeCells count="8">
    <mergeCell ref="AQ1:AR1"/>
    <mergeCell ref="AM1:AP1"/>
    <mergeCell ref="G1:H1"/>
    <mergeCell ref="I1:J1"/>
    <mergeCell ref="K1:L1"/>
    <mergeCell ref="M1:Z1"/>
    <mergeCell ref="AA1:AD1"/>
    <mergeCell ref="AE1:AG1"/>
  </mergeCells>
  <hyperlinks>
    <hyperlink ref="H2" r:id="rId1" xr:uid="{3EC9A4C4-8EEC-4159-8CAB-8489659063E5}"/>
    <hyperlink ref="J2" r:id="rId2" xr:uid="{B40FC54B-6BD5-4001-B3F1-5DCEF4F2F70B}"/>
    <hyperlink ref="L2" r:id="rId3" xr:uid="{4EC4556B-D1E6-4842-860A-61C18D9C383E}"/>
  </hyperlinks>
  <pageMargins left="0.7" right="0.7" top="0.75" bottom="0.75" header="0.3" footer="0.3"/>
  <pageSetup paperSize="9" orientation="portrait"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836FC-6F22-4583-98F7-3D6633F11119}">
  <dimension ref="A1:J44"/>
  <sheetViews>
    <sheetView topLeftCell="A3" zoomScale="90" zoomScaleNormal="90" workbookViewId="0">
      <selection activeCell="E14" sqref="E14"/>
    </sheetView>
  </sheetViews>
  <sheetFormatPr baseColWidth="10" defaultColWidth="11.5546875" defaultRowHeight="15" x14ac:dyDescent="0.3"/>
  <cols>
    <col min="1" max="1" width="11.5546875" style="169"/>
    <col min="2" max="2" width="12.33203125" style="2" customWidth="1"/>
    <col min="3" max="3" width="11.5546875" style="170"/>
    <col min="4" max="4" width="11.5546875" style="2"/>
    <col min="5" max="5" width="11.5546875" style="169"/>
    <col min="6" max="6" width="11.5546875" style="170"/>
    <col min="7" max="7" width="11.5546875" style="2"/>
    <col min="8" max="8" width="11.5546875" style="169"/>
    <col min="9" max="9" width="24" style="2" customWidth="1"/>
    <col min="10" max="10" width="28.5546875" style="170" customWidth="1"/>
    <col min="11" max="16384" width="11.5546875" style="2"/>
  </cols>
  <sheetData>
    <row r="1" spans="1:10" ht="15.6" x14ac:dyDescent="0.3">
      <c r="A1" s="417" t="s">
        <v>390</v>
      </c>
      <c r="B1" s="419"/>
      <c r="C1" s="418"/>
      <c r="E1" s="417" t="s">
        <v>389</v>
      </c>
      <c r="F1" s="418"/>
      <c r="H1" s="417" t="s">
        <v>388</v>
      </c>
      <c r="I1" s="419"/>
      <c r="J1" s="418"/>
    </row>
    <row r="2" spans="1:10" ht="30" x14ac:dyDescent="0.3">
      <c r="A2" s="173" t="s">
        <v>88</v>
      </c>
      <c r="B2" s="221" t="s">
        <v>89</v>
      </c>
      <c r="C2" s="57" t="s">
        <v>90</v>
      </c>
      <c r="D2" s="171" t="s">
        <v>91</v>
      </c>
      <c r="E2" s="220" t="s">
        <v>92</v>
      </c>
    </row>
    <row r="3" spans="1:10" s="216" customFormat="1" ht="62.4" x14ac:dyDescent="0.3">
      <c r="A3" s="189" t="s">
        <v>44</v>
      </c>
      <c r="B3" s="187" t="s">
        <v>387</v>
      </c>
      <c r="C3" s="188" t="s">
        <v>386</v>
      </c>
      <c r="D3" s="217"/>
      <c r="E3" s="219"/>
      <c r="F3" s="218"/>
      <c r="G3" s="217"/>
      <c r="H3" s="189" t="s">
        <v>44</v>
      </c>
      <c r="I3" s="187" t="s">
        <v>265</v>
      </c>
      <c r="J3" s="188" t="s">
        <v>385</v>
      </c>
    </row>
    <row r="4" spans="1:10" ht="31.2" x14ac:dyDescent="0.3">
      <c r="A4" s="189" t="s">
        <v>258</v>
      </c>
      <c r="B4" s="364" t="s">
        <v>204</v>
      </c>
      <c r="C4" s="365" t="s">
        <v>178</v>
      </c>
      <c r="E4" s="189" t="s">
        <v>384</v>
      </c>
      <c r="F4" s="184">
        <v>3000</v>
      </c>
      <c r="H4" s="215" t="s">
        <v>258</v>
      </c>
      <c r="I4" s="214" t="s">
        <v>213</v>
      </c>
      <c r="J4" s="213" t="s">
        <v>383</v>
      </c>
    </row>
    <row r="5" spans="1:10" ht="31.2" x14ac:dyDescent="0.3">
      <c r="A5" s="212" t="s">
        <v>15</v>
      </c>
      <c r="B5" s="134">
        <v>6.2</v>
      </c>
      <c r="C5" s="211">
        <v>0</v>
      </c>
      <c r="E5" s="189" t="s">
        <v>382</v>
      </c>
      <c r="F5" s="184">
        <v>25</v>
      </c>
      <c r="H5" s="207" t="s">
        <v>15</v>
      </c>
      <c r="I5" s="206" t="s">
        <v>624</v>
      </c>
      <c r="J5" s="206">
        <v>2.4750000000000001</v>
      </c>
    </row>
    <row r="6" spans="1:10" x14ac:dyDescent="0.3">
      <c r="A6" s="212" t="s">
        <v>16</v>
      </c>
      <c r="B6" s="134">
        <v>3.4</v>
      </c>
      <c r="C6" s="211">
        <v>18000</v>
      </c>
      <c r="H6" s="207" t="s">
        <v>16</v>
      </c>
      <c r="I6" s="206" t="s">
        <v>624</v>
      </c>
      <c r="J6" s="206">
        <v>2.4750000000000001</v>
      </c>
    </row>
    <row r="7" spans="1:10" x14ac:dyDescent="0.3">
      <c r="A7" s="212" t="s">
        <v>256</v>
      </c>
      <c r="B7" s="134">
        <v>3.8</v>
      </c>
      <c r="C7" s="211">
        <v>18000</v>
      </c>
      <c r="H7" s="207" t="s">
        <v>256</v>
      </c>
      <c r="I7" s="206" t="s">
        <v>624</v>
      </c>
      <c r="J7" s="206">
        <v>2.4750000000000001</v>
      </c>
    </row>
    <row r="8" spans="1:10" x14ac:dyDescent="0.3">
      <c r="A8" s="212" t="s">
        <v>255</v>
      </c>
      <c r="B8" s="134">
        <v>4.8</v>
      </c>
      <c r="C8" s="211">
        <v>18000</v>
      </c>
      <c r="H8" s="212" t="s">
        <v>255</v>
      </c>
      <c r="I8" s="206" t="s">
        <v>624</v>
      </c>
      <c r="J8" s="206">
        <v>2.4750000000000001</v>
      </c>
    </row>
    <row r="9" spans="1:10" x14ac:dyDescent="0.3">
      <c r="A9" s="212" t="s">
        <v>588</v>
      </c>
      <c r="B9" s="134">
        <v>5.4</v>
      </c>
      <c r="C9" s="211">
        <v>18000</v>
      </c>
      <c r="H9" s="212" t="s">
        <v>588</v>
      </c>
      <c r="I9" s="206" t="s">
        <v>624</v>
      </c>
      <c r="J9" s="206">
        <v>2.4750000000000001</v>
      </c>
    </row>
    <row r="10" spans="1:10" ht="15.6" x14ac:dyDescent="0.3">
      <c r="A10" s="210"/>
      <c r="B10" s="209"/>
      <c r="C10" s="208"/>
      <c r="H10" s="207"/>
      <c r="I10" s="134"/>
      <c r="J10" s="134"/>
    </row>
    <row r="11" spans="1:10" x14ac:dyDescent="0.3">
      <c r="H11" s="207"/>
      <c r="I11" s="134"/>
      <c r="J11" s="134"/>
    </row>
    <row r="12" spans="1:10" x14ac:dyDescent="0.3">
      <c r="H12" s="207"/>
      <c r="I12" s="134"/>
      <c r="J12" s="134"/>
    </row>
    <row r="13" spans="1:10" x14ac:dyDescent="0.3">
      <c r="H13" s="207"/>
      <c r="I13" s="134"/>
      <c r="J13" s="134"/>
    </row>
    <row r="14" spans="1:10" x14ac:dyDescent="0.3">
      <c r="H14" s="207"/>
      <c r="I14" s="134"/>
      <c r="J14" s="134"/>
    </row>
    <row r="15" spans="1:10" x14ac:dyDescent="0.3">
      <c r="H15" s="206"/>
      <c r="I15" s="134"/>
      <c r="J15" s="134"/>
    </row>
    <row r="16" spans="1:10" x14ac:dyDescent="0.3">
      <c r="H16" s="206"/>
      <c r="I16" s="134"/>
      <c r="J16" s="134"/>
    </row>
    <row r="17" spans="8:10" x14ac:dyDescent="0.3">
      <c r="H17" s="206"/>
      <c r="I17" s="134"/>
      <c r="J17" s="206"/>
    </row>
    <row r="18" spans="8:10" x14ac:dyDescent="0.3">
      <c r="H18" s="206"/>
      <c r="I18" s="134"/>
      <c r="J18" s="206"/>
    </row>
    <row r="19" spans="8:10" x14ac:dyDescent="0.3">
      <c r="H19" s="206"/>
      <c r="I19" s="134"/>
      <c r="J19" s="206"/>
    </row>
    <row r="20" spans="8:10" x14ac:dyDescent="0.3">
      <c r="H20" s="206"/>
      <c r="I20" s="134"/>
      <c r="J20" s="206"/>
    </row>
    <row r="21" spans="8:10" x14ac:dyDescent="0.3">
      <c r="H21" s="206"/>
      <c r="I21" s="134"/>
      <c r="J21" s="206"/>
    </row>
    <row r="22" spans="8:10" x14ac:dyDescent="0.3">
      <c r="H22" s="206"/>
      <c r="I22" s="134"/>
      <c r="J22" s="206"/>
    </row>
    <row r="23" spans="8:10" x14ac:dyDescent="0.3">
      <c r="H23" s="206"/>
      <c r="I23" s="134"/>
      <c r="J23" s="206"/>
    </row>
    <row r="24" spans="8:10" x14ac:dyDescent="0.3">
      <c r="H24" s="206"/>
      <c r="I24" s="134"/>
      <c r="J24" s="206"/>
    </row>
    <row r="25" spans="8:10" x14ac:dyDescent="0.3">
      <c r="H25" s="204"/>
      <c r="I25" s="56"/>
      <c r="J25" s="205"/>
    </row>
    <row r="26" spans="8:10" x14ac:dyDescent="0.3">
      <c r="H26" s="204"/>
      <c r="I26" s="56"/>
      <c r="J26" s="184"/>
    </row>
    <row r="27" spans="8:10" x14ac:dyDescent="0.3">
      <c r="H27" s="204"/>
      <c r="I27" s="56"/>
      <c r="J27" s="184"/>
    </row>
    <row r="28" spans="8:10" x14ac:dyDescent="0.3">
      <c r="H28" s="204"/>
      <c r="I28" s="56"/>
      <c r="J28" s="184"/>
    </row>
    <row r="29" spans="8:10" x14ac:dyDescent="0.3">
      <c r="H29" s="204"/>
      <c r="I29" s="56"/>
      <c r="J29" s="184"/>
    </row>
    <row r="30" spans="8:10" x14ac:dyDescent="0.3">
      <c r="H30" s="204"/>
      <c r="I30" s="56"/>
      <c r="J30" s="184"/>
    </row>
    <row r="31" spans="8:10" x14ac:dyDescent="0.3">
      <c r="H31" s="204"/>
      <c r="I31" s="56"/>
      <c r="J31" s="184"/>
    </row>
    <row r="32" spans="8:10" x14ac:dyDescent="0.3">
      <c r="H32" s="204"/>
      <c r="I32" s="56"/>
      <c r="J32" s="205"/>
    </row>
    <row r="33" spans="8:10" x14ac:dyDescent="0.3">
      <c r="H33" s="204"/>
      <c r="I33" s="56"/>
      <c r="J33" s="184"/>
    </row>
    <row r="34" spans="8:10" x14ac:dyDescent="0.3">
      <c r="H34" s="204"/>
      <c r="I34" s="56"/>
      <c r="J34" s="184"/>
    </row>
    <row r="35" spans="8:10" x14ac:dyDescent="0.3">
      <c r="H35" s="204"/>
      <c r="I35" s="56"/>
      <c r="J35" s="184"/>
    </row>
    <row r="36" spans="8:10" x14ac:dyDescent="0.3">
      <c r="H36" s="204"/>
      <c r="I36" s="56"/>
      <c r="J36" s="184"/>
    </row>
    <row r="37" spans="8:10" x14ac:dyDescent="0.3">
      <c r="H37" s="204"/>
      <c r="I37" s="56"/>
      <c r="J37" s="184"/>
    </row>
    <row r="38" spans="8:10" x14ac:dyDescent="0.3">
      <c r="H38" s="204"/>
      <c r="I38" s="56"/>
      <c r="J38" s="184"/>
    </row>
    <row r="39" spans="8:10" x14ac:dyDescent="0.3">
      <c r="H39" s="204"/>
      <c r="I39" s="56"/>
      <c r="J39" s="205"/>
    </row>
    <row r="40" spans="8:10" x14ac:dyDescent="0.3">
      <c r="H40" s="204"/>
      <c r="I40" s="56"/>
      <c r="J40" s="184"/>
    </row>
    <row r="41" spans="8:10" x14ac:dyDescent="0.3">
      <c r="H41" s="204"/>
      <c r="I41" s="56"/>
      <c r="J41" s="184"/>
    </row>
    <row r="42" spans="8:10" x14ac:dyDescent="0.3">
      <c r="H42" s="204"/>
      <c r="I42" s="56"/>
      <c r="J42" s="184"/>
    </row>
    <row r="43" spans="8:10" x14ac:dyDescent="0.3">
      <c r="H43" s="204"/>
      <c r="I43" s="56"/>
      <c r="J43" s="184"/>
    </row>
    <row r="44" spans="8:10" x14ac:dyDescent="0.3">
      <c r="H44" s="204"/>
      <c r="I44" s="56"/>
      <c r="J44" s="184"/>
    </row>
  </sheetData>
  <mergeCells count="3">
    <mergeCell ref="A1:C1"/>
    <mergeCell ref="H1:J1"/>
    <mergeCell ref="E1:F1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04CAD-A8DA-48AA-BFB4-C0D588DF0295}">
  <dimension ref="A1:H18"/>
  <sheetViews>
    <sheetView zoomScale="70" zoomScaleNormal="70" workbookViewId="0">
      <selection activeCell="F33" sqref="F33"/>
    </sheetView>
  </sheetViews>
  <sheetFormatPr baseColWidth="10" defaultColWidth="11.5546875" defaultRowHeight="13.8" x14ac:dyDescent="0.25"/>
  <cols>
    <col min="1" max="1" width="11.5546875" style="12"/>
    <col min="2" max="2" width="11.5546875" style="137"/>
    <col min="3" max="3" width="11.5546875" style="135"/>
    <col min="4" max="4" width="11.5546875" style="12"/>
    <col min="5" max="5" width="19.88671875" style="135" customWidth="1"/>
    <col min="6" max="6" width="21.44140625" style="135" customWidth="1"/>
    <col min="7" max="7" width="23" style="135" customWidth="1"/>
    <col min="8" max="8" width="23.109375" style="137" customWidth="1"/>
    <col min="9" max="16384" width="11.5546875" style="135"/>
  </cols>
  <sheetData>
    <row r="1" spans="1:8" x14ac:dyDescent="0.25">
      <c r="A1" s="423" t="s">
        <v>401</v>
      </c>
      <c r="B1" s="424"/>
      <c r="D1" s="423" t="s">
        <v>400</v>
      </c>
      <c r="E1" s="425"/>
      <c r="F1" s="425"/>
      <c r="G1" s="425"/>
      <c r="H1" s="424"/>
    </row>
    <row r="2" spans="1:8" ht="31.2" x14ac:dyDescent="0.25">
      <c r="A2" s="44" t="s">
        <v>88</v>
      </c>
      <c r="B2" s="226" t="s">
        <v>89</v>
      </c>
      <c r="C2" s="225" t="s">
        <v>90</v>
      </c>
      <c r="D2" s="224" t="s">
        <v>91</v>
      </c>
      <c r="E2" s="223" t="s">
        <v>92</v>
      </c>
    </row>
    <row r="3" spans="1:8" s="222" customFormat="1" ht="43.65" customHeight="1" x14ac:dyDescent="0.3">
      <c r="A3" s="25" t="s">
        <v>6</v>
      </c>
      <c r="B3" s="52" t="s">
        <v>399</v>
      </c>
      <c r="D3" s="25" t="s">
        <v>44</v>
      </c>
      <c r="E3" s="124" t="s">
        <v>398</v>
      </c>
      <c r="F3" s="124" t="s">
        <v>397</v>
      </c>
      <c r="G3" s="124" t="s">
        <v>396</v>
      </c>
      <c r="H3" s="52" t="s">
        <v>395</v>
      </c>
    </row>
    <row r="4" spans="1:8" s="1" customFormat="1" ht="27.6" x14ac:dyDescent="0.3">
      <c r="A4" s="134" t="s">
        <v>606</v>
      </c>
      <c r="B4" s="325">
        <v>0</v>
      </c>
      <c r="C4" s="325"/>
      <c r="D4" s="25" t="s">
        <v>258</v>
      </c>
      <c r="E4" s="124" t="s">
        <v>394</v>
      </c>
      <c r="F4" s="124" t="s">
        <v>393</v>
      </c>
      <c r="G4" s="124" t="s">
        <v>392</v>
      </c>
      <c r="H4" s="52" t="s">
        <v>391</v>
      </c>
    </row>
    <row r="5" spans="1:8" s="1" customFormat="1" ht="14.4" x14ac:dyDescent="0.3">
      <c r="A5" s="134" t="s">
        <v>607</v>
      </c>
      <c r="B5" s="325">
        <v>0</v>
      </c>
      <c r="C5" s="325"/>
      <c r="D5" s="222" t="s">
        <v>15</v>
      </c>
      <c r="E5" s="134">
        <v>24.166666666666664</v>
      </c>
      <c r="F5" s="222" t="s">
        <v>97</v>
      </c>
      <c r="G5" s="222" t="s">
        <v>115</v>
      </c>
      <c r="H5" s="222" t="s">
        <v>115</v>
      </c>
    </row>
    <row r="6" spans="1:8" s="1" customFormat="1" ht="14.4" x14ac:dyDescent="0.3">
      <c r="A6" s="134" t="s">
        <v>609</v>
      </c>
      <c r="B6" s="325">
        <v>0.3</v>
      </c>
      <c r="C6" s="325"/>
      <c r="D6" s="222" t="s">
        <v>16</v>
      </c>
      <c r="E6" s="363" t="s">
        <v>97</v>
      </c>
      <c r="F6" s="363">
        <v>12</v>
      </c>
      <c r="G6" s="222" t="s">
        <v>115</v>
      </c>
      <c r="H6" s="222" t="s">
        <v>115</v>
      </c>
    </row>
    <row r="7" spans="1:8" s="1" customFormat="1" ht="14.4" x14ac:dyDescent="0.3">
      <c r="A7" s="134" t="s">
        <v>610</v>
      </c>
      <c r="B7" s="325">
        <v>0.7</v>
      </c>
      <c r="C7" s="325"/>
      <c r="D7" s="222" t="s">
        <v>256</v>
      </c>
      <c r="E7" s="134">
        <v>24</v>
      </c>
      <c r="F7" s="325" t="s">
        <v>115</v>
      </c>
      <c r="G7" s="222" t="s">
        <v>115</v>
      </c>
      <c r="H7" s="222" t="s">
        <v>115</v>
      </c>
    </row>
    <row r="8" spans="1:8" s="1" customFormat="1" ht="14.4" x14ac:dyDescent="0.3">
      <c r="A8" s="134" t="s">
        <v>612</v>
      </c>
      <c r="B8" s="325">
        <v>0.3</v>
      </c>
      <c r="C8" s="325"/>
      <c r="D8" s="222" t="s">
        <v>255</v>
      </c>
      <c r="E8" s="134">
        <v>16.8</v>
      </c>
      <c r="F8" s="325" t="s">
        <v>115</v>
      </c>
      <c r="G8" s="222" t="s">
        <v>115</v>
      </c>
      <c r="H8" s="222" t="s">
        <v>115</v>
      </c>
    </row>
    <row r="9" spans="1:8" s="1" customFormat="1" ht="14.4" x14ac:dyDescent="0.3">
      <c r="A9" s="134" t="s">
        <v>112</v>
      </c>
      <c r="B9" s="325">
        <v>0.3</v>
      </c>
      <c r="C9" s="325"/>
      <c r="D9" s="222" t="s">
        <v>588</v>
      </c>
      <c r="E9" s="134">
        <v>16.23809523809523</v>
      </c>
      <c r="F9" s="325" t="s">
        <v>115</v>
      </c>
      <c r="G9" s="222" t="s">
        <v>115</v>
      </c>
      <c r="H9" s="222" t="s">
        <v>115</v>
      </c>
    </row>
    <row r="10" spans="1:8" s="1" customFormat="1" ht="14.4" x14ac:dyDescent="0.3">
      <c r="A10" s="134" t="s">
        <v>613</v>
      </c>
      <c r="B10" s="325">
        <v>0.3</v>
      </c>
      <c r="C10" s="325"/>
      <c r="D10" s="324"/>
      <c r="E10" s="325"/>
      <c r="F10" s="325"/>
      <c r="G10" s="325"/>
      <c r="H10" s="115"/>
    </row>
    <row r="11" spans="1:8" ht="14.4" x14ac:dyDescent="0.3">
      <c r="A11" s="134" t="s">
        <v>614</v>
      </c>
      <c r="B11" s="325">
        <v>0.3</v>
      </c>
    </row>
    <row r="12" spans="1:8" ht="14.4" x14ac:dyDescent="0.3">
      <c r="A12" s="134" t="s">
        <v>615</v>
      </c>
      <c r="B12" s="325">
        <v>0.7</v>
      </c>
    </row>
    <row r="13" spans="1:8" ht="14.4" x14ac:dyDescent="0.3">
      <c r="A13" s="134" t="s">
        <v>616</v>
      </c>
      <c r="B13" s="325">
        <v>0.3</v>
      </c>
    </row>
    <row r="14" spans="1:8" ht="14.4" x14ac:dyDescent="0.3">
      <c r="A14" s="134" t="s">
        <v>617</v>
      </c>
      <c r="B14" s="325">
        <v>0.3</v>
      </c>
    </row>
    <row r="15" spans="1:8" ht="14.4" x14ac:dyDescent="0.3">
      <c r="A15" s="134" t="s">
        <v>618</v>
      </c>
      <c r="B15" s="325">
        <v>0.3</v>
      </c>
    </row>
    <row r="16" spans="1:8" ht="14.4" x14ac:dyDescent="0.3">
      <c r="A16" s="134" t="s">
        <v>619</v>
      </c>
      <c r="B16" s="325">
        <v>0.3</v>
      </c>
    </row>
    <row r="17" spans="1:2" ht="14.4" x14ac:dyDescent="0.3">
      <c r="A17" s="134" t="s">
        <v>620</v>
      </c>
      <c r="B17" s="325">
        <v>0.3</v>
      </c>
    </row>
    <row r="18" spans="1:2" ht="14.4" x14ac:dyDescent="0.3">
      <c r="A18" s="134" t="s">
        <v>621</v>
      </c>
      <c r="B18" s="325">
        <v>0.3</v>
      </c>
    </row>
  </sheetData>
  <mergeCells count="2">
    <mergeCell ref="A1:B1"/>
    <mergeCell ref="D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18373-8576-485D-A6EC-DD7B167A041B}">
  <dimension ref="A1:AI139"/>
  <sheetViews>
    <sheetView topLeftCell="L14" zoomScale="85" zoomScaleNormal="85" workbookViewId="0">
      <selection activeCell="R5" sqref="R5:R34"/>
    </sheetView>
  </sheetViews>
  <sheetFormatPr baseColWidth="10" defaultRowHeight="14.4" x14ac:dyDescent="0.3"/>
  <cols>
    <col min="1" max="1" width="11.5546875" style="6"/>
    <col min="2" max="10" width="11.5546875" style="134"/>
    <col min="11" max="11" width="18.5546875" style="134" customWidth="1"/>
    <col min="12" max="12" width="21.6640625" style="134" customWidth="1"/>
    <col min="13" max="13" width="11.5546875" style="134"/>
    <col min="14" max="14" width="11.5546875" style="8"/>
    <col min="15" max="24" width="11.5546875" style="134"/>
    <col min="25" max="25" width="11.5546875" style="8"/>
    <col min="26" max="29" width="11.5546875" style="134"/>
    <col min="30" max="30" width="11.5546875" style="6"/>
    <col min="31" max="31" width="17.109375" style="134" customWidth="1"/>
    <col min="32" max="32" width="29.77734375" style="8" customWidth="1"/>
    <col min="33" max="33" width="11.5546875" style="6"/>
    <col min="34" max="34" width="18.109375" style="134" customWidth="1"/>
    <col min="35" max="35" width="16.44140625" style="8" customWidth="1"/>
    <col min="36" max="16384" width="11.5546875" style="134"/>
  </cols>
  <sheetData>
    <row r="1" spans="1:35" ht="21" x14ac:dyDescent="0.4">
      <c r="A1" s="426" t="s">
        <v>448</v>
      </c>
      <c r="B1" s="427"/>
      <c r="C1" s="427"/>
      <c r="D1" s="427"/>
      <c r="E1" s="427"/>
      <c r="F1" s="427"/>
      <c r="G1" s="427"/>
      <c r="H1" s="427"/>
      <c r="I1" s="427"/>
      <c r="J1" s="427"/>
      <c r="K1" s="427" t="s">
        <v>446</v>
      </c>
      <c r="L1" s="427"/>
      <c r="M1" s="427"/>
      <c r="N1" s="430"/>
      <c r="O1" s="426" t="s">
        <v>447</v>
      </c>
      <c r="P1" s="427"/>
      <c r="Q1" s="427"/>
      <c r="R1" s="427"/>
      <c r="S1" s="427"/>
      <c r="T1" s="427"/>
      <c r="U1" s="427"/>
      <c r="V1" s="427"/>
      <c r="W1" s="427"/>
      <c r="X1" s="427"/>
      <c r="Y1" s="430"/>
      <c r="Z1" s="427" t="s">
        <v>446</v>
      </c>
      <c r="AA1" s="427"/>
      <c r="AB1" s="427"/>
      <c r="AC1" s="430"/>
      <c r="AD1" s="417" t="s">
        <v>371</v>
      </c>
      <c r="AE1" s="419"/>
      <c r="AF1" s="418"/>
      <c r="AG1" s="417" t="s">
        <v>445</v>
      </c>
      <c r="AH1" s="419"/>
      <c r="AI1" s="418"/>
    </row>
    <row r="2" spans="1:35" ht="15.6" x14ac:dyDescent="0.3">
      <c r="A2" s="428" t="s">
        <v>444</v>
      </c>
      <c r="B2" s="429"/>
      <c r="C2" s="429"/>
      <c r="D2" s="429"/>
      <c r="E2" s="429"/>
      <c r="F2" s="429"/>
      <c r="G2" s="429"/>
      <c r="H2" s="429"/>
      <c r="I2" s="429"/>
      <c r="J2" s="429"/>
      <c r="AC2" s="8"/>
      <c r="AD2" s="169"/>
      <c r="AE2" s="2"/>
      <c r="AF2" s="170"/>
      <c r="AG2" s="169"/>
      <c r="AH2" s="2"/>
      <c r="AI2" s="170"/>
    </row>
    <row r="3" spans="1:35" ht="46.8" x14ac:dyDescent="0.3">
      <c r="A3" s="239" t="s">
        <v>258</v>
      </c>
      <c r="B3" s="233" t="s">
        <v>19</v>
      </c>
      <c r="C3" s="233" t="s">
        <v>443</v>
      </c>
      <c r="D3" s="233" t="s">
        <v>442</v>
      </c>
      <c r="E3" s="233" t="s">
        <v>441</v>
      </c>
      <c r="F3" s="233" t="s">
        <v>440</v>
      </c>
      <c r="G3" s="233" t="s">
        <v>439</v>
      </c>
      <c r="H3" s="236" t="s">
        <v>438</v>
      </c>
      <c r="I3" s="236" t="s">
        <v>437</v>
      </c>
      <c r="J3" s="236" t="s">
        <v>436</v>
      </c>
      <c r="K3" s="236" t="s">
        <v>424</v>
      </c>
      <c r="L3" s="236" t="s">
        <v>423</v>
      </c>
      <c r="M3" s="236" t="s">
        <v>435</v>
      </c>
      <c r="N3" s="238" t="s">
        <v>421</v>
      </c>
      <c r="O3" s="236" t="s">
        <v>44</v>
      </c>
      <c r="P3" s="236" t="s">
        <v>434</v>
      </c>
      <c r="Q3" s="236" t="s">
        <v>433</v>
      </c>
      <c r="R3" s="236" t="s">
        <v>432</v>
      </c>
      <c r="S3" s="236" t="s">
        <v>431</v>
      </c>
      <c r="T3" s="236" t="s">
        <v>430</v>
      </c>
      <c r="U3" s="236" t="s">
        <v>429</v>
      </c>
      <c r="V3" s="236" t="s">
        <v>428</v>
      </c>
      <c r="W3" s="236" t="s">
        <v>427</v>
      </c>
      <c r="X3" s="236" t="s">
        <v>426</v>
      </c>
      <c r="Y3" s="236" t="s">
        <v>425</v>
      </c>
      <c r="Z3" s="236" t="s">
        <v>424</v>
      </c>
      <c r="AA3" s="236" t="s">
        <v>423</v>
      </c>
      <c r="AB3" s="236" t="s">
        <v>422</v>
      </c>
      <c r="AC3" s="238" t="s">
        <v>421</v>
      </c>
      <c r="AD3" s="189" t="s">
        <v>44</v>
      </c>
      <c r="AE3" s="187" t="s">
        <v>337</v>
      </c>
      <c r="AF3" s="188" t="s">
        <v>420</v>
      </c>
      <c r="AG3" s="189" t="s">
        <v>44</v>
      </c>
      <c r="AH3" s="187" t="s">
        <v>336</v>
      </c>
      <c r="AI3" s="188" t="s">
        <v>344</v>
      </c>
    </row>
    <row r="4" spans="1:35" ht="31.2" x14ac:dyDescent="0.3">
      <c r="A4" s="237" t="s">
        <v>258</v>
      </c>
      <c r="B4" s="236" t="s">
        <v>19</v>
      </c>
      <c r="C4" s="236" t="s">
        <v>416</v>
      </c>
      <c r="D4" s="233" t="s">
        <v>415</v>
      </c>
      <c r="E4" s="233" t="s">
        <v>414</v>
      </c>
      <c r="F4" s="233" t="s">
        <v>419</v>
      </c>
      <c r="G4" s="233" t="s">
        <v>413</v>
      </c>
      <c r="H4" s="233" t="s">
        <v>412</v>
      </c>
      <c r="I4" s="233" t="s">
        <v>411</v>
      </c>
      <c r="J4" s="233" t="s">
        <v>410</v>
      </c>
      <c r="K4" s="233" t="s">
        <v>407</v>
      </c>
      <c r="L4" s="233" t="s">
        <v>406</v>
      </c>
      <c r="M4" s="233" t="s">
        <v>418</v>
      </c>
      <c r="N4" s="232" t="s">
        <v>404</v>
      </c>
      <c r="O4" s="124" t="s">
        <v>258</v>
      </c>
      <c r="P4" s="121" t="s">
        <v>417</v>
      </c>
      <c r="Q4" s="124" t="s">
        <v>416</v>
      </c>
      <c r="R4" s="233" t="s">
        <v>415</v>
      </c>
      <c r="S4" s="233" t="s">
        <v>414</v>
      </c>
      <c r="T4" s="235" t="s">
        <v>413</v>
      </c>
      <c r="U4" s="235" t="s">
        <v>412</v>
      </c>
      <c r="V4" s="235" t="s">
        <v>411</v>
      </c>
      <c r="W4" s="235" t="s">
        <v>410</v>
      </c>
      <c r="X4" s="235" t="s">
        <v>409</v>
      </c>
      <c r="Y4" s="234" t="s">
        <v>408</v>
      </c>
      <c r="Z4" s="233" t="s">
        <v>407</v>
      </c>
      <c r="AA4" s="233" t="s">
        <v>406</v>
      </c>
      <c r="AB4" s="233" t="s">
        <v>405</v>
      </c>
      <c r="AC4" s="232" t="s">
        <v>404</v>
      </c>
      <c r="AD4" s="157" t="s">
        <v>258</v>
      </c>
      <c r="AE4" s="153" t="s">
        <v>326</v>
      </c>
      <c r="AF4" s="156" t="s">
        <v>403</v>
      </c>
      <c r="AG4" s="157" t="s">
        <v>258</v>
      </c>
      <c r="AH4" s="153" t="s">
        <v>73</v>
      </c>
      <c r="AI4" s="156" t="s">
        <v>402</v>
      </c>
    </row>
    <row r="5" spans="1:35" ht="15.6" x14ac:dyDescent="0.3">
      <c r="A5" s="348" t="s">
        <v>15</v>
      </c>
      <c r="B5" s="134" t="s">
        <v>590</v>
      </c>
      <c r="C5" s="348" t="s">
        <v>206</v>
      </c>
      <c r="D5" s="228">
        <v>250</v>
      </c>
      <c r="E5" s="228">
        <v>0</v>
      </c>
      <c r="F5" s="228">
        <v>0</v>
      </c>
      <c r="G5" s="228">
        <v>0</v>
      </c>
      <c r="H5" s="228">
        <v>800</v>
      </c>
      <c r="I5" s="228">
        <v>0</v>
      </c>
      <c r="J5" s="228">
        <v>1200</v>
      </c>
      <c r="K5" s="228">
        <v>45</v>
      </c>
      <c r="L5" s="228">
        <v>15</v>
      </c>
      <c r="M5" s="228">
        <v>12</v>
      </c>
      <c r="N5" s="227">
        <v>1.5</v>
      </c>
      <c r="O5" s="304" t="s">
        <v>15</v>
      </c>
      <c r="P5" s="135" t="s">
        <v>584</v>
      </c>
      <c r="Q5" s="304" t="s">
        <v>206</v>
      </c>
      <c r="R5" s="231">
        <v>3</v>
      </c>
      <c r="S5" s="231">
        <v>3</v>
      </c>
      <c r="T5" s="231">
        <v>0</v>
      </c>
      <c r="U5" s="231">
        <v>0</v>
      </c>
      <c r="V5" s="231">
        <v>0</v>
      </c>
      <c r="W5" s="231">
        <v>2</v>
      </c>
      <c r="X5" s="231">
        <v>2</v>
      </c>
      <c r="Y5" s="230">
        <v>0</v>
      </c>
      <c r="Z5" s="228">
        <v>1</v>
      </c>
      <c r="AA5" s="228">
        <v>0</v>
      </c>
      <c r="AB5" s="228">
        <v>0</v>
      </c>
      <c r="AC5" s="227">
        <v>1</v>
      </c>
      <c r="AD5" s="173" t="s">
        <v>15</v>
      </c>
      <c r="AE5" s="181" t="s">
        <v>68</v>
      </c>
      <c r="AF5" s="184" t="s">
        <v>97</v>
      </c>
      <c r="AG5" s="173" t="s">
        <v>15</v>
      </c>
      <c r="AH5" s="173" t="s">
        <v>77</v>
      </c>
      <c r="AI5" s="184" t="s">
        <v>97</v>
      </c>
    </row>
    <row r="6" spans="1:35" ht="15.6" x14ac:dyDescent="0.3">
      <c r="A6" s="348" t="s">
        <v>15</v>
      </c>
      <c r="B6" s="134" t="s">
        <v>590</v>
      </c>
      <c r="C6" s="348" t="s">
        <v>198</v>
      </c>
      <c r="D6" s="228">
        <v>250</v>
      </c>
      <c r="E6" s="228">
        <v>0</v>
      </c>
      <c r="F6" s="228">
        <v>150</v>
      </c>
      <c r="G6" s="228">
        <v>2500</v>
      </c>
      <c r="H6" s="228">
        <v>400</v>
      </c>
      <c r="I6" s="228">
        <v>120</v>
      </c>
      <c r="J6" s="228">
        <v>1800</v>
      </c>
      <c r="K6" s="228">
        <v>45</v>
      </c>
      <c r="L6" s="228">
        <v>15</v>
      </c>
      <c r="M6" s="228">
        <v>12</v>
      </c>
      <c r="N6" s="227">
        <v>1.5</v>
      </c>
      <c r="O6" s="304" t="s">
        <v>15</v>
      </c>
      <c r="P6" s="135" t="s">
        <v>584</v>
      </c>
      <c r="Q6" s="304" t="s">
        <v>198</v>
      </c>
      <c r="R6" s="231">
        <v>3</v>
      </c>
      <c r="S6" s="231">
        <v>3</v>
      </c>
      <c r="T6" s="231">
        <v>3</v>
      </c>
      <c r="U6" s="231">
        <v>3</v>
      </c>
      <c r="V6" s="231">
        <v>3</v>
      </c>
      <c r="W6" s="231">
        <v>3</v>
      </c>
      <c r="X6" s="231">
        <v>3</v>
      </c>
      <c r="Y6" s="230">
        <v>3</v>
      </c>
      <c r="Z6" s="228">
        <v>1</v>
      </c>
      <c r="AA6" s="228">
        <v>0</v>
      </c>
      <c r="AB6" s="228">
        <v>1</v>
      </c>
      <c r="AC6" s="227">
        <v>2</v>
      </c>
      <c r="AD6" s="173" t="s">
        <v>15</v>
      </c>
      <c r="AE6" s="181" t="s">
        <v>69</v>
      </c>
      <c r="AF6" s="184" t="s">
        <v>97</v>
      </c>
      <c r="AG6" s="173" t="s">
        <v>15</v>
      </c>
      <c r="AH6" s="367" t="s">
        <v>614</v>
      </c>
      <c r="AI6" s="184" t="s">
        <v>97</v>
      </c>
    </row>
    <row r="7" spans="1:35" ht="15.6" x14ac:dyDescent="0.3">
      <c r="A7" s="348" t="s">
        <v>15</v>
      </c>
      <c r="B7" s="134" t="s">
        <v>590</v>
      </c>
      <c r="C7" s="348" t="s">
        <v>190</v>
      </c>
      <c r="D7" s="228">
        <v>250</v>
      </c>
      <c r="E7" s="228">
        <v>0</v>
      </c>
      <c r="F7" s="228">
        <v>300</v>
      </c>
      <c r="G7" s="228">
        <v>4500</v>
      </c>
      <c r="H7" s="228">
        <v>0</v>
      </c>
      <c r="I7" s="228">
        <v>250</v>
      </c>
      <c r="J7" s="228">
        <v>2400</v>
      </c>
      <c r="K7" s="228">
        <v>45</v>
      </c>
      <c r="L7" s="228">
        <v>15</v>
      </c>
      <c r="M7" s="228">
        <v>12</v>
      </c>
      <c r="N7" s="227">
        <v>1.5</v>
      </c>
      <c r="O7" s="304" t="s">
        <v>15</v>
      </c>
      <c r="P7" s="135" t="s">
        <v>584</v>
      </c>
      <c r="Q7" s="304" t="s">
        <v>190</v>
      </c>
      <c r="R7" s="231">
        <v>3</v>
      </c>
      <c r="S7" s="231">
        <v>3</v>
      </c>
      <c r="T7" s="231">
        <v>3</v>
      </c>
      <c r="U7" s="231">
        <v>3</v>
      </c>
      <c r="V7" s="231">
        <v>3</v>
      </c>
      <c r="W7" s="231">
        <v>10</v>
      </c>
      <c r="X7" s="231">
        <v>10</v>
      </c>
      <c r="Y7" s="230">
        <v>3</v>
      </c>
      <c r="Z7" s="228">
        <v>1</v>
      </c>
      <c r="AA7" s="228">
        <v>0</v>
      </c>
      <c r="AB7" s="228">
        <v>2</v>
      </c>
      <c r="AC7" s="227">
        <v>0</v>
      </c>
      <c r="AD7" s="173" t="s">
        <v>15</v>
      </c>
      <c r="AE7" s="181" t="s">
        <v>70</v>
      </c>
      <c r="AF7" s="184" t="s">
        <v>97</v>
      </c>
      <c r="AG7" s="173" t="s">
        <v>15</v>
      </c>
      <c r="AH7" s="186" t="s">
        <v>112</v>
      </c>
      <c r="AI7" s="184" t="s">
        <v>97</v>
      </c>
    </row>
    <row r="8" spans="1:35" ht="15.6" x14ac:dyDescent="0.3">
      <c r="A8" s="348" t="s">
        <v>15</v>
      </c>
      <c r="B8" s="134" t="s">
        <v>591</v>
      </c>
      <c r="C8" s="348" t="s">
        <v>206</v>
      </c>
      <c r="D8" s="228">
        <v>220</v>
      </c>
      <c r="E8" s="228">
        <v>0</v>
      </c>
      <c r="F8" s="228">
        <v>0</v>
      </c>
      <c r="G8" s="228">
        <v>0</v>
      </c>
      <c r="H8" s="228">
        <v>700</v>
      </c>
      <c r="I8" s="228">
        <v>0</v>
      </c>
      <c r="J8" s="228">
        <v>1100</v>
      </c>
      <c r="K8" s="228">
        <v>40</v>
      </c>
      <c r="L8" s="228">
        <v>15</v>
      </c>
      <c r="M8" s="228">
        <v>10</v>
      </c>
      <c r="N8" s="227">
        <v>1.2</v>
      </c>
      <c r="O8" s="304" t="s">
        <v>16</v>
      </c>
      <c r="P8" s="135" t="s">
        <v>584</v>
      </c>
      <c r="Q8" s="304" t="s">
        <v>206</v>
      </c>
      <c r="R8" s="231">
        <v>3</v>
      </c>
      <c r="S8" s="231">
        <v>3</v>
      </c>
      <c r="T8" s="231">
        <v>0</v>
      </c>
      <c r="U8" s="231">
        <v>0</v>
      </c>
      <c r="V8" s="231">
        <v>0</v>
      </c>
      <c r="W8" s="231">
        <v>2</v>
      </c>
      <c r="X8" s="231">
        <v>2</v>
      </c>
      <c r="Y8" s="230">
        <v>0</v>
      </c>
      <c r="Z8" s="228">
        <v>1</v>
      </c>
      <c r="AA8" s="228">
        <v>0</v>
      </c>
      <c r="AB8" s="228">
        <v>0</v>
      </c>
      <c r="AC8" s="227">
        <v>1</v>
      </c>
      <c r="AD8" s="173" t="s">
        <v>15</v>
      </c>
      <c r="AE8" s="181" t="s">
        <v>71</v>
      </c>
      <c r="AF8" s="184" t="s">
        <v>97</v>
      </c>
      <c r="AG8" s="173" t="s">
        <v>15</v>
      </c>
      <c r="AH8" s="169" t="s">
        <v>607</v>
      </c>
      <c r="AI8" s="184" t="s">
        <v>97</v>
      </c>
    </row>
    <row r="9" spans="1:35" ht="15.6" x14ac:dyDescent="0.3">
      <c r="A9" s="348" t="s">
        <v>15</v>
      </c>
      <c r="B9" s="134" t="s">
        <v>591</v>
      </c>
      <c r="C9" s="348" t="s">
        <v>198</v>
      </c>
      <c r="D9" s="228">
        <v>220</v>
      </c>
      <c r="E9" s="228">
        <v>0</v>
      </c>
      <c r="F9" s="228">
        <v>120</v>
      </c>
      <c r="G9" s="228">
        <v>2200</v>
      </c>
      <c r="H9" s="228">
        <v>350</v>
      </c>
      <c r="I9" s="228">
        <v>0</v>
      </c>
      <c r="J9" s="228">
        <v>1600</v>
      </c>
      <c r="K9" s="228">
        <v>40</v>
      </c>
      <c r="L9" s="228">
        <v>15</v>
      </c>
      <c r="M9" s="228">
        <v>10</v>
      </c>
      <c r="N9" s="227">
        <v>1.2</v>
      </c>
      <c r="O9" s="304" t="s">
        <v>16</v>
      </c>
      <c r="P9" s="135" t="s">
        <v>584</v>
      </c>
      <c r="Q9" s="304" t="s">
        <v>198</v>
      </c>
      <c r="R9" s="231">
        <v>3</v>
      </c>
      <c r="S9" s="231">
        <v>3</v>
      </c>
      <c r="T9" s="231">
        <v>3</v>
      </c>
      <c r="U9" s="231">
        <v>3</v>
      </c>
      <c r="V9" s="231">
        <v>3</v>
      </c>
      <c r="W9" s="231">
        <v>3</v>
      </c>
      <c r="X9" s="231">
        <v>3</v>
      </c>
      <c r="Y9" s="230">
        <v>3</v>
      </c>
      <c r="Z9" s="228">
        <v>1</v>
      </c>
      <c r="AA9" s="228">
        <v>0</v>
      </c>
      <c r="AB9" s="228">
        <v>1.5</v>
      </c>
      <c r="AC9" s="227">
        <v>2</v>
      </c>
      <c r="AD9" s="173" t="s">
        <v>15</v>
      </c>
      <c r="AE9" s="181" t="s">
        <v>67</v>
      </c>
      <c r="AF9" s="184" t="s">
        <v>97</v>
      </c>
      <c r="AG9" s="173" t="s">
        <v>15</v>
      </c>
      <c r="AH9" s="169" t="s">
        <v>618</v>
      </c>
      <c r="AI9" s="184" t="s">
        <v>97</v>
      </c>
    </row>
    <row r="10" spans="1:35" ht="15.6" x14ac:dyDescent="0.3">
      <c r="A10" s="348" t="s">
        <v>15</v>
      </c>
      <c r="B10" s="134" t="s">
        <v>591</v>
      </c>
      <c r="C10" s="348" t="s">
        <v>190</v>
      </c>
      <c r="D10" s="228">
        <v>220</v>
      </c>
      <c r="E10" s="228">
        <v>0</v>
      </c>
      <c r="F10" s="228">
        <v>250</v>
      </c>
      <c r="G10" s="228">
        <v>4000</v>
      </c>
      <c r="H10" s="228">
        <v>0</v>
      </c>
      <c r="I10" s="228">
        <v>0</v>
      </c>
      <c r="J10" s="228">
        <v>2200</v>
      </c>
      <c r="K10" s="228">
        <v>40</v>
      </c>
      <c r="L10" s="228">
        <v>15</v>
      </c>
      <c r="M10" s="228">
        <v>10</v>
      </c>
      <c r="N10" s="227">
        <v>1.2</v>
      </c>
      <c r="O10" s="304" t="s">
        <v>16</v>
      </c>
      <c r="P10" s="135" t="s">
        <v>584</v>
      </c>
      <c r="Q10" s="304" t="s">
        <v>190</v>
      </c>
      <c r="R10" s="231">
        <v>3</v>
      </c>
      <c r="S10" s="231">
        <v>3</v>
      </c>
      <c r="T10" s="231">
        <v>3</v>
      </c>
      <c r="U10" s="231">
        <v>3</v>
      </c>
      <c r="V10" s="231">
        <v>3</v>
      </c>
      <c r="W10" s="231">
        <v>10</v>
      </c>
      <c r="X10" s="231">
        <v>10</v>
      </c>
      <c r="Y10" s="230">
        <v>3</v>
      </c>
      <c r="Z10" s="228">
        <v>1</v>
      </c>
      <c r="AA10" s="228">
        <v>0</v>
      </c>
      <c r="AB10" s="228">
        <v>0</v>
      </c>
      <c r="AC10" s="227">
        <v>1</v>
      </c>
      <c r="AD10" s="169"/>
      <c r="AE10" s="2"/>
      <c r="AF10" s="170"/>
      <c r="AG10" s="175"/>
      <c r="AH10" s="178"/>
      <c r="AI10" s="177"/>
    </row>
    <row r="11" spans="1:35" ht="15.6" x14ac:dyDescent="0.3">
      <c r="A11" s="348" t="s">
        <v>15</v>
      </c>
      <c r="B11" s="134" t="s">
        <v>592</v>
      </c>
      <c r="C11" s="348" t="s">
        <v>206</v>
      </c>
      <c r="D11" s="228">
        <v>500</v>
      </c>
      <c r="E11" s="228">
        <v>350</v>
      </c>
      <c r="F11" s="228">
        <v>0</v>
      </c>
      <c r="G11" s="228">
        <v>0</v>
      </c>
      <c r="H11" s="228">
        <v>1200</v>
      </c>
      <c r="I11" s="228">
        <v>0</v>
      </c>
      <c r="J11" s="228">
        <v>3500</v>
      </c>
      <c r="K11" s="228">
        <v>35</v>
      </c>
      <c r="L11" s="228">
        <v>20</v>
      </c>
      <c r="M11" s="228">
        <v>25</v>
      </c>
      <c r="N11" s="227">
        <v>2.5</v>
      </c>
      <c r="O11" s="304" t="s">
        <v>256</v>
      </c>
      <c r="P11" s="135" t="s">
        <v>584</v>
      </c>
      <c r="Q11" s="304" t="s">
        <v>206</v>
      </c>
      <c r="R11" s="231">
        <v>3</v>
      </c>
      <c r="S11" s="231">
        <v>3</v>
      </c>
      <c r="T11" s="231">
        <v>0</v>
      </c>
      <c r="U11" s="231">
        <v>0</v>
      </c>
      <c r="V11" s="231">
        <v>0</v>
      </c>
      <c r="W11" s="231">
        <v>2</v>
      </c>
      <c r="X11" s="231">
        <v>2</v>
      </c>
      <c r="Y11" s="230">
        <v>0</v>
      </c>
      <c r="Z11" s="228">
        <v>1</v>
      </c>
      <c r="AA11" s="228">
        <v>0</v>
      </c>
      <c r="AB11" s="228">
        <v>1</v>
      </c>
      <c r="AC11" s="227">
        <v>2</v>
      </c>
      <c r="AD11" s="169"/>
      <c r="AE11" s="2"/>
      <c r="AF11" s="170"/>
      <c r="AG11" s="175"/>
      <c r="AH11" s="178"/>
      <c r="AI11" s="177"/>
    </row>
    <row r="12" spans="1:35" ht="15.6" x14ac:dyDescent="0.3">
      <c r="A12" s="348" t="s">
        <v>15</v>
      </c>
      <c r="B12" s="134" t="s">
        <v>592</v>
      </c>
      <c r="C12" s="348" t="s">
        <v>198</v>
      </c>
      <c r="D12" s="228">
        <v>300</v>
      </c>
      <c r="E12" s="228">
        <v>0</v>
      </c>
      <c r="F12" s="228">
        <v>100</v>
      </c>
      <c r="G12" s="228">
        <v>0</v>
      </c>
      <c r="H12" s="228">
        <v>400</v>
      </c>
      <c r="I12" s="228">
        <v>0</v>
      </c>
      <c r="J12" s="228">
        <v>1400</v>
      </c>
      <c r="K12" s="228">
        <v>15</v>
      </c>
      <c r="L12" s="228">
        <v>15</v>
      </c>
      <c r="M12" s="228">
        <v>18</v>
      </c>
      <c r="N12" s="227">
        <v>1</v>
      </c>
      <c r="O12" s="304" t="s">
        <v>256</v>
      </c>
      <c r="P12" s="135" t="s">
        <v>584</v>
      </c>
      <c r="Q12" s="304" t="s">
        <v>198</v>
      </c>
      <c r="R12" s="231">
        <v>3</v>
      </c>
      <c r="S12" s="231">
        <v>3</v>
      </c>
      <c r="T12" s="231">
        <v>3</v>
      </c>
      <c r="U12" s="231">
        <v>3</v>
      </c>
      <c r="V12" s="231">
        <v>3</v>
      </c>
      <c r="W12" s="231">
        <v>3</v>
      </c>
      <c r="X12" s="231">
        <v>3</v>
      </c>
      <c r="Y12" s="230">
        <v>3</v>
      </c>
      <c r="Z12" s="228">
        <v>1</v>
      </c>
      <c r="AA12" s="228">
        <v>0</v>
      </c>
      <c r="AB12" s="228">
        <v>2</v>
      </c>
      <c r="AC12" s="227">
        <v>0</v>
      </c>
      <c r="AD12" s="169"/>
      <c r="AE12" s="2"/>
      <c r="AF12" s="170"/>
      <c r="AG12" s="175"/>
      <c r="AH12" s="178"/>
      <c r="AI12" s="177"/>
    </row>
    <row r="13" spans="1:35" ht="15.6" x14ac:dyDescent="0.3">
      <c r="A13" s="348" t="s">
        <v>15</v>
      </c>
      <c r="B13" s="134" t="s">
        <v>592</v>
      </c>
      <c r="C13" s="348" t="s">
        <v>190</v>
      </c>
      <c r="D13" s="228">
        <v>300</v>
      </c>
      <c r="E13" s="228">
        <v>0</v>
      </c>
      <c r="F13" s="228">
        <v>200</v>
      </c>
      <c r="G13" s="228">
        <v>500</v>
      </c>
      <c r="H13" s="228">
        <v>200</v>
      </c>
      <c r="I13" s="228">
        <v>0</v>
      </c>
      <c r="J13" s="228">
        <v>1800</v>
      </c>
      <c r="K13" s="228">
        <v>15</v>
      </c>
      <c r="L13" s="228">
        <v>15</v>
      </c>
      <c r="M13" s="228">
        <v>18</v>
      </c>
      <c r="N13" s="227">
        <v>1</v>
      </c>
      <c r="O13" s="304" t="s">
        <v>256</v>
      </c>
      <c r="P13" s="135" t="s">
        <v>584</v>
      </c>
      <c r="Q13" s="304" t="s">
        <v>190</v>
      </c>
      <c r="R13" s="231">
        <v>3</v>
      </c>
      <c r="S13" s="231">
        <v>3</v>
      </c>
      <c r="T13" s="231">
        <v>3</v>
      </c>
      <c r="U13" s="231">
        <v>3</v>
      </c>
      <c r="V13" s="231">
        <v>3</v>
      </c>
      <c r="W13" s="231">
        <v>10</v>
      </c>
      <c r="X13" s="231">
        <v>10</v>
      </c>
      <c r="Y13" s="230">
        <v>3</v>
      </c>
      <c r="Z13" s="228">
        <v>1</v>
      </c>
      <c r="AA13" s="228">
        <v>0</v>
      </c>
      <c r="AB13" s="228">
        <v>0</v>
      </c>
      <c r="AC13" s="227">
        <v>1</v>
      </c>
      <c r="AD13" s="169"/>
      <c r="AE13" s="2"/>
      <c r="AF13" s="170"/>
      <c r="AG13" s="175"/>
      <c r="AH13" s="178"/>
      <c r="AI13" s="177"/>
    </row>
    <row r="14" spans="1:35" ht="15.6" x14ac:dyDescent="0.3">
      <c r="A14" s="348" t="s">
        <v>15</v>
      </c>
      <c r="B14" s="348" t="s">
        <v>593</v>
      </c>
      <c r="C14" s="348" t="s">
        <v>206</v>
      </c>
      <c r="D14" s="228">
        <v>250</v>
      </c>
      <c r="E14" s="228">
        <v>0</v>
      </c>
      <c r="F14" s="228">
        <v>0</v>
      </c>
      <c r="G14" s="228">
        <v>0</v>
      </c>
      <c r="H14" s="228">
        <v>800</v>
      </c>
      <c r="I14" s="228">
        <v>0</v>
      </c>
      <c r="J14" s="228">
        <v>1200</v>
      </c>
      <c r="K14" s="228">
        <v>45</v>
      </c>
      <c r="L14" s="228">
        <v>15</v>
      </c>
      <c r="M14" s="228">
        <v>12</v>
      </c>
      <c r="N14" s="227">
        <v>1.5</v>
      </c>
      <c r="O14" s="304" t="s">
        <v>255</v>
      </c>
      <c r="P14" s="135" t="s">
        <v>584</v>
      </c>
      <c r="Q14" s="304" t="s">
        <v>206</v>
      </c>
      <c r="R14" s="231">
        <v>3</v>
      </c>
      <c r="S14" s="231">
        <v>3</v>
      </c>
      <c r="T14" s="231">
        <v>2.75</v>
      </c>
      <c r="U14" s="231">
        <v>2.75</v>
      </c>
      <c r="V14" s="231">
        <v>2.75</v>
      </c>
      <c r="W14" s="231">
        <v>7</v>
      </c>
      <c r="X14" s="231">
        <v>7</v>
      </c>
      <c r="Y14" s="230">
        <v>2.75</v>
      </c>
      <c r="Z14" s="228">
        <v>1</v>
      </c>
      <c r="AA14" s="228">
        <v>0</v>
      </c>
      <c r="AB14" s="228">
        <v>0.91666666666666696</v>
      </c>
      <c r="AC14" s="227">
        <v>0.94444444444444398</v>
      </c>
      <c r="AD14" s="169"/>
      <c r="AE14" s="2"/>
      <c r="AF14" s="170"/>
      <c r="AG14" s="169"/>
      <c r="AH14" s="2"/>
      <c r="AI14" s="170"/>
    </row>
    <row r="15" spans="1:35" ht="15.6" x14ac:dyDescent="0.3">
      <c r="A15" s="348" t="s">
        <v>15</v>
      </c>
      <c r="B15" s="348" t="s">
        <v>593</v>
      </c>
      <c r="C15" s="348" t="s">
        <v>198</v>
      </c>
      <c r="D15" s="228">
        <v>250</v>
      </c>
      <c r="E15" s="228">
        <v>0</v>
      </c>
      <c r="F15" s="228">
        <v>0</v>
      </c>
      <c r="G15" s="228">
        <v>0</v>
      </c>
      <c r="H15" s="228">
        <v>800</v>
      </c>
      <c r="I15" s="228">
        <v>0</v>
      </c>
      <c r="J15" s="228">
        <v>1200</v>
      </c>
      <c r="K15" s="228">
        <v>45</v>
      </c>
      <c r="L15" s="228">
        <v>15</v>
      </c>
      <c r="M15" s="228">
        <v>12</v>
      </c>
      <c r="N15" s="227">
        <v>1.5</v>
      </c>
      <c r="O15" s="304" t="s">
        <v>255</v>
      </c>
      <c r="P15" s="135" t="s">
        <v>584</v>
      </c>
      <c r="Q15" s="304" t="s">
        <v>198</v>
      </c>
      <c r="R15" s="231">
        <v>3</v>
      </c>
      <c r="S15" s="231">
        <v>3</v>
      </c>
      <c r="T15" s="231">
        <v>2.9</v>
      </c>
      <c r="U15" s="231">
        <v>2.9</v>
      </c>
      <c r="V15" s="231">
        <v>2.9</v>
      </c>
      <c r="W15" s="231">
        <v>7.4</v>
      </c>
      <c r="X15" s="231">
        <v>7.4</v>
      </c>
      <c r="Y15" s="230">
        <v>2.9</v>
      </c>
      <c r="Z15" s="228">
        <v>1</v>
      </c>
      <c r="AA15" s="228">
        <v>0</v>
      </c>
      <c r="AB15" s="228">
        <v>0.93333333333333401</v>
      </c>
      <c r="AC15" s="227">
        <v>0.91111111111111098</v>
      </c>
      <c r="AD15" s="169"/>
      <c r="AE15" s="2"/>
      <c r="AF15" s="170"/>
      <c r="AG15" s="169"/>
      <c r="AH15" s="2"/>
      <c r="AI15" s="170"/>
    </row>
    <row r="16" spans="1:35" ht="15.6" x14ac:dyDescent="0.3">
      <c r="A16" s="348" t="s">
        <v>15</v>
      </c>
      <c r="B16" s="348" t="s">
        <v>593</v>
      </c>
      <c r="C16" s="348" t="s">
        <v>190</v>
      </c>
      <c r="D16" s="228">
        <v>250</v>
      </c>
      <c r="E16" s="228">
        <v>0</v>
      </c>
      <c r="F16" s="228">
        <v>150</v>
      </c>
      <c r="G16" s="228">
        <v>2500</v>
      </c>
      <c r="H16" s="228">
        <v>400</v>
      </c>
      <c r="I16" s="228">
        <v>120</v>
      </c>
      <c r="J16" s="228">
        <v>1800</v>
      </c>
      <c r="K16" s="228">
        <v>45</v>
      </c>
      <c r="L16" s="228">
        <v>15</v>
      </c>
      <c r="M16" s="228">
        <v>12</v>
      </c>
      <c r="N16" s="227">
        <v>1.5</v>
      </c>
      <c r="O16" s="304" t="s">
        <v>255</v>
      </c>
      <c r="P16" s="135" t="s">
        <v>584</v>
      </c>
      <c r="Q16" s="304" t="s">
        <v>190</v>
      </c>
      <c r="R16" s="231">
        <v>3</v>
      </c>
      <c r="S16" s="231">
        <v>3</v>
      </c>
      <c r="T16" s="231">
        <v>3.05</v>
      </c>
      <c r="U16" s="231">
        <v>3.05</v>
      </c>
      <c r="V16" s="231">
        <v>3.05</v>
      </c>
      <c r="W16" s="231">
        <v>7.8</v>
      </c>
      <c r="X16" s="231">
        <v>7.8</v>
      </c>
      <c r="Y16" s="230">
        <v>3.05</v>
      </c>
      <c r="Z16" s="228">
        <v>1</v>
      </c>
      <c r="AA16" s="228">
        <v>0</v>
      </c>
      <c r="AB16" s="228">
        <v>0.95000000000000095</v>
      </c>
      <c r="AC16" s="227">
        <v>0.87777777777777799</v>
      </c>
      <c r="AD16" s="169"/>
      <c r="AE16" s="2"/>
      <c r="AF16" s="170"/>
      <c r="AG16" s="169"/>
      <c r="AH16" s="2"/>
      <c r="AI16" s="170"/>
    </row>
    <row r="17" spans="1:35" ht="15.6" x14ac:dyDescent="0.3">
      <c r="A17" s="348" t="s">
        <v>15</v>
      </c>
      <c r="B17" s="348" t="s">
        <v>594</v>
      </c>
      <c r="C17" s="348" t="s">
        <v>206</v>
      </c>
      <c r="D17" s="228">
        <v>250</v>
      </c>
      <c r="E17" s="228">
        <v>0</v>
      </c>
      <c r="F17" s="228">
        <v>300</v>
      </c>
      <c r="G17" s="228">
        <v>4500</v>
      </c>
      <c r="H17" s="228">
        <v>0</v>
      </c>
      <c r="I17" s="228">
        <v>250</v>
      </c>
      <c r="J17" s="228">
        <v>2400</v>
      </c>
      <c r="K17" s="228">
        <v>45</v>
      </c>
      <c r="L17" s="228">
        <v>15</v>
      </c>
      <c r="M17" s="228">
        <v>12</v>
      </c>
      <c r="N17" s="227">
        <v>1.5</v>
      </c>
      <c r="O17" s="304" t="s">
        <v>588</v>
      </c>
      <c r="P17" s="135" t="s">
        <v>584</v>
      </c>
      <c r="Q17" s="304" t="s">
        <v>206</v>
      </c>
      <c r="R17" s="231">
        <v>3</v>
      </c>
      <c r="S17" s="231">
        <v>3</v>
      </c>
      <c r="T17" s="231">
        <v>3.2</v>
      </c>
      <c r="U17" s="231">
        <v>3.2</v>
      </c>
      <c r="V17" s="231">
        <v>3.2</v>
      </c>
      <c r="W17" s="231">
        <v>8.1999999999999993</v>
      </c>
      <c r="X17" s="231">
        <v>8.1999999999999993</v>
      </c>
      <c r="Y17" s="230">
        <v>3.2</v>
      </c>
      <c r="Z17" s="228">
        <v>1</v>
      </c>
      <c r="AA17" s="228">
        <v>0</v>
      </c>
      <c r="AB17" s="228">
        <v>0.96666666666666701</v>
      </c>
      <c r="AC17" s="227">
        <v>0.844444444444444</v>
      </c>
      <c r="AD17" s="169"/>
      <c r="AE17" s="2"/>
      <c r="AF17" s="170"/>
      <c r="AG17" s="169"/>
      <c r="AH17" s="2"/>
      <c r="AI17" s="170"/>
    </row>
    <row r="18" spans="1:35" ht="15.6" x14ac:dyDescent="0.3">
      <c r="A18" s="348" t="s">
        <v>15</v>
      </c>
      <c r="B18" s="348" t="s">
        <v>594</v>
      </c>
      <c r="C18" s="348" t="s">
        <v>198</v>
      </c>
      <c r="D18" s="228">
        <v>220</v>
      </c>
      <c r="E18" s="228">
        <v>0</v>
      </c>
      <c r="F18" s="228">
        <v>0</v>
      </c>
      <c r="G18" s="228">
        <v>0</v>
      </c>
      <c r="H18" s="228">
        <v>700</v>
      </c>
      <c r="I18" s="228">
        <v>0</v>
      </c>
      <c r="J18" s="228">
        <v>1100</v>
      </c>
      <c r="K18" s="228">
        <v>40</v>
      </c>
      <c r="L18" s="228">
        <v>15</v>
      </c>
      <c r="M18" s="228">
        <v>10</v>
      </c>
      <c r="N18" s="227">
        <v>1.2</v>
      </c>
      <c r="O18" s="304" t="s">
        <v>588</v>
      </c>
      <c r="P18" s="135" t="s">
        <v>584</v>
      </c>
      <c r="Q18" s="304" t="s">
        <v>198</v>
      </c>
      <c r="R18" s="231">
        <v>3</v>
      </c>
      <c r="S18" s="231">
        <v>3</v>
      </c>
      <c r="T18" s="231">
        <v>3.35</v>
      </c>
      <c r="U18" s="231">
        <v>3.35</v>
      </c>
      <c r="V18" s="231">
        <v>3.35</v>
      </c>
      <c r="W18" s="231">
        <v>8.6</v>
      </c>
      <c r="X18" s="231">
        <v>8.6</v>
      </c>
      <c r="Y18" s="230">
        <v>3.35</v>
      </c>
      <c r="Z18" s="228">
        <v>1</v>
      </c>
      <c r="AA18" s="228">
        <v>0</v>
      </c>
      <c r="AB18" s="228">
        <v>0.98333333333333395</v>
      </c>
      <c r="AC18" s="227">
        <v>0.81111111111111101</v>
      </c>
      <c r="AD18" s="169"/>
      <c r="AE18" s="2"/>
      <c r="AF18" s="170"/>
      <c r="AG18" s="169"/>
      <c r="AH18" s="2"/>
      <c r="AI18" s="170"/>
    </row>
    <row r="19" spans="1:35" ht="15.6" x14ac:dyDescent="0.3">
      <c r="A19" s="348" t="s">
        <v>15</v>
      </c>
      <c r="B19" s="348" t="s">
        <v>594</v>
      </c>
      <c r="C19" s="348" t="s">
        <v>190</v>
      </c>
      <c r="D19" s="228">
        <v>220</v>
      </c>
      <c r="E19" s="228">
        <v>0</v>
      </c>
      <c r="F19" s="228">
        <v>120</v>
      </c>
      <c r="G19" s="228">
        <v>2200</v>
      </c>
      <c r="H19" s="228">
        <v>350</v>
      </c>
      <c r="I19" s="228">
        <v>0</v>
      </c>
      <c r="J19" s="228">
        <v>1600</v>
      </c>
      <c r="K19" s="228">
        <v>40</v>
      </c>
      <c r="L19" s="228">
        <v>15</v>
      </c>
      <c r="M19" s="228">
        <v>10</v>
      </c>
      <c r="N19" s="227">
        <v>1.2</v>
      </c>
      <c r="O19" s="304" t="s">
        <v>588</v>
      </c>
      <c r="P19" s="135" t="s">
        <v>584</v>
      </c>
      <c r="Q19" s="304" t="s">
        <v>190</v>
      </c>
      <c r="R19" s="231">
        <v>3</v>
      </c>
      <c r="S19" s="231">
        <v>3</v>
      </c>
      <c r="T19" s="231">
        <v>3.5</v>
      </c>
      <c r="U19" s="231">
        <v>3.5</v>
      </c>
      <c r="V19" s="231">
        <v>3.5</v>
      </c>
      <c r="W19" s="231">
        <v>9</v>
      </c>
      <c r="X19" s="231">
        <v>9</v>
      </c>
      <c r="Y19" s="230">
        <v>3.5</v>
      </c>
      <c r="Z19" s="228">
        <v>1</v>
      </c>
      <c r="AA19" s="228">
        <v>0</v>
      </c>
      <c r="AB19" s="228">
        <v>1</v>
      </c>
      <c r="AC19" s="227">
        <v>0.77777777777777801</v>
      </c>
      <c r="AD19" s="169"/>
      <c r="AE19" s="2"/>
      <c r="AF19" s="170"/>
      <c r="AG19" s="169"/>
      <c r="AH19" s="2"/>
      <c r="AI19" s="170"/>
    </row>
    <row r="20" spans="1:35" ht="28.8" x14ac:dyDescent="0.3">
      <c r="A20" s="348" t="s">
        <v>15</v>
      </c>
      <c r="B20" s="348" t="s">
        <v>595</v>
      </c>
      <c r="C20" s="348" t="s">
        <v>206</v>
      </c>
      <c r="D20" s="228">
        <v>220</v>
      </c>
      <c r="E20" s="228">
        <v>0</v>
      </c>
      <c r="F20" s="228">
        <v>250</v>
      </c>
      <c r="G20" s="228">
        <v>4000</v>
      </c>
      <c r="H20" s="228">
        <v>0</v>
      </c>
      <c r="I20" s="228">
        <v>0</v>
      </c>
      <c r="J20" s="228">
        <v>2200</v>
      </c>
      <c r="K20" s="228">
        <v>40</v>
      </c>
      <c r="L20" s="228">
        <v>15</v>
      </c>
      <c r="M20" s="228">
        <v>10</v>
      </c>
      <c r="N20" s="227">
        <v>1.2</v>
      </c>
      <c r="O20" s="304" t="s">
        <v>15</v>
      </c>
      <c r="P20" s="135" t="s">
        <v>589</v>
      </c>
      <c r="Q20" s="304" t="s">
        <v>206</v>
      </c>
      <c r="R20" s="231">
        <v>3</v>
      </c>
      <c r="S20" s="231">
        <v>3</v>
      </c>
      <c r="T20" s="231">
        <v>3.65</v>
      </c>
      <c r="U20" s="231">
        <v>3.65</v>
      </c>
      <c r="V20" s="231">
        <v>3.65</v>
      </c>
      <c r="W20" s="231">
        <v>9.4</v>
      </c>
      <c r="X20" s="231">
        <v>9.4</v>
      </c>
      <c r="Y20" s="230">
        <v>3.65</v>
      </c>
      <c r="Z20" s="228">
        <v>1</v>
      </c>
      <c r="AA20" s="228">
        <v>0</v>
      </c>
      <c r="AB20" s="228">
        <v>1.0166666666666699</v>
      </c>
      <c r="AC20" s="227">
        <v>0.74444444444444502</v>
      </c>
    </row>
    <row r="21" spans="1:35" ht="15.6" x14ac:dyDescent="0.3">
      <c r="A21" s="348" t="s">
        <v>15</v>
      </c>
      <c r="B21" s="134" t="s">
        <v>595</v>
      </c>
      <c r="C21" s="348" t="s">
        <v>198</v>
      </c>
      <c r="D21" s="228">
        <v>500</v>
      </c>
      <c r="E21" s="228">
        <v>350</v>
      </c>
      <c r="F21" s="228">
        <v>0</v>
      </c>
      <c r="G21" s="228">
        <v>0</v>
      </c>
      <c r="H21" s="228">
        <v>1200</v>
      </c>
      <c r="I21" s="228">
        <v>0</v>
      </c>
      <c r="J21" s="228">
        <v>3500</v>
      </c>
      <c r="K21" s="228">
        <v>35</v>
      </c>
      <c r="L21" s="228">
        <v>20</v>
      </c>
      <c r="M21" s="228">
        <v>25</v>
      </c>
      <c r="N21" s="227">
        <v>2.5</v>
      </c>
      <c r="O21" s="304" t="s">
        <v>15</v>
      </c>
      <c r="P21" s="135" t="s">
        <v>589</v>
      </c>
      <c r="Q21" s="304" t="s">
        <v>198</v>
      </c>
      <c r="R21" s="231">
        <v>3</v>
      </c>
      <c r="S21" s="231">
        <v>3</v>
      </c>
      <c r="T21" s="231">
        <v>3.8</v>
      </c>
      <c r="U21" s="231">
        <v>3.8</v>
      </c>
      <c r="V21" s="231">
        <v>3.8</v>
      </c>
      <c r="W21" s="231">
        <v>9.8000000000000007</v>
      </c>
      <c r="X21" s="231">
        <v>9.8000000000000007</v>
      </c>
      <c r="Y21" s="230">
        <v>3.8</v>
      </c>
      <c r="Z21" s="228">
        <v>1</v>
      </c>
      <c r="AA21" s="228">
        <v>0</v>
      </c>
      <c r="AB21" s="228">
        <v>1.0333333333333301</v>
      </c>
      <c r="AC21" s="227">
        <v>0.71111111111111103</v>
      </c>
    </row>
    <row r="22" spans="1:35" ht="15.6" x14ac:dyDescent="0.3">
      <c r="A22" s="348" t="s">
        <v>15</v>
      </c>
      <c r="B22" s="134" t="s">
        <v>595</v>
      </c>
      <c r="C22" s="348" t="s">
        <v>190</v>
      </c>
      <c r="D22" s="228">
        <v>300</v>
      </c>
      <c r="E22" s="228">
        <v>0</v>
      </c>
      <c r="F22" s="228">
        <v>100</v>
      </c>
      <c r="G22" s="228">
        <v>0</v>
      </c>
      <c r="H22" s="228">
        <v>400</v>
      </c>
      <c r="I22" s="228">
        <v>0</v>
      </c>
      <c r="J22" s="228">
        <v>1400</v>
      </c>
      <c r="K22" s="228">
        <v>15</v>
      </c>
      <c r="L22" s="228">
        <v>15</v>
      </c>
      <c r="M22" s="228">
        <v>18</v>
      </c>
      <c r="N22" s="227">
        <v>1</v>
      </c>
      <c r="O22" s="304" t="s">
        <v>15</v>
      </c>
      <c r="P22" s="135" t="s">
        <v>589</v>
      </c>
      <c r="Q22" s="304" t="s">
        <v>190</v>
      </c>
      <c r="R22" s="231">
        <v>3</v>
      </c>
      <c r="S22" s="231">
        <v>3</v>
      </c>
      <c r="T22" s="231">
        <v>3.95</v>
      </c>
      <c r="U22" s="231">
        <v>3.95</v>
      </c>
      <c r="V22" s="231">
        <v>3.95</v>
      </c>
      <c r="W22" s="231">
        <v>10.199999999999999</v>
      </c>
      <c r="X22" s="231">
        <v>10.199999999999999</v>
      </c>
      <c r="Y22" s="230">
        <v>3.95</v>
      </c>
      <c r="Z22" s="228">
        <v>1</v>
      </c>
      <c r="AA22" s="228">
        <v>0</v>
      </c>
      <c r="AB22" s="228">
        <v>1.05</v>
      </c>
      <c r="AC22" s="227">
        <v>0.67777777777777803</v>
      </c>
    </row>
    <row r="23" spans="1:35" ht="15.6" x14ac:dyDescent="0.3">
      <c r="A23" s="348" t="s">
        <v>15</v>
      </c>
      <c r="B23" s="134" t="s">
        <v>597</v>
      </c>
      <c r="C23" s="348" t="s">
        <v>206</v>
      </c>
      <c r="D23" s="228">
        <v>300</v>
      </c>
      <c r="E23" s="228">
        <v>0</v>
      </c>
      <c r="F23" s="228">
        <v>200</v>
      </c>
      <c r="G23" s="228">
        <v>500</v>
      </c>
      <c r="H23" s="228">
        <v>200</v>
      </c>
      <c r="I23" s="228">
        <v>0</v>
      </c>
      <c r="J23" s="228">
        <v>1800</v>
      </c>
      <c r="K23" s="228">
        <v>15</v>
      </c>
      <c r="L23" s="228">
        <v>15</v>
      </c>
      <c r="M23" s="228">
        <v>18</v>
      </c>
      <c r="N23" s="227">
        <v>1</v>
      </c>
      <c r="O23" s="304" t="s">
        <v>16</v>
      </c>
      <c r="P23" s="135" t="s">
        <v>589</v>
      </c>
      <c r="Q23" s="304" t="s">
        <v>206</v>
      </c>
      <c r="R23" s="231">
        <v>3</v>
      </c>
      <c r="S23" s="231">
        <v>3</v>
      </c>
      <c r="T23" s="231">
        <v>4.0999999999999996</v>
      </c>
      <c r="U23" s="231">
        <v>4.0999999999999996</v>
      </c>
      <c r="V23" s="231">
        <v>4.0999999999999996</v>
      </c>
      <c r="W23" s="231">
        <v>10.6</v>
      </c>
      <c r="X23" s="231">
        <v>10.6</v>
      </c>
      <c r="Y23" s="230">
        <v>4.0999999999999996</v>
      </c>
      <c r="Z23" s="228">
        <v>1</v>
      </c>
      <c r="AA23" s="228">
        <v>0</v>
      </c>
      <c r="AB23" s="228">
        <v>1.06666666666667</v>
      </c>
      <c r="AC23" s="227">
        <v>0.64444444444444504</v>
      </c>
    </row>
    <row r="24" spans="1:35" ht="15.6" x14ac:dyDescent="0.3">
      <c r="A24" s="348" t="s">
        <v>15</v>
      </c>
      <c r="B24" s="134" t="s">
        <v>597</v>
      </c>
      <c r="C24" s="348" t="s">
        <v>198</v>
      </c>
      <c r="D24" s="228">
        <v>300</v>
      </c>
      <c r="E24" s="228">
        <v>0</v>
      </c>
      <c r="F24" s="228">
        <v>300</v>
      </c>
      <c r="G24" s="228">
        <v>1000</v>
      </c>
      <c r="H24" s="228">
        <v>0</v>
      </c>
      <c r="I24" s="228">
        <v>0</v>
      </c>
      <c r="J24" s="228">
        <v>2500</v>
      </c>
      <c r="K24" s="228">
        <v>15</v>
      </c>
      <c r="L24" s="228">
        <v>15</v>
      </c>
      <c r="M24" s="228">
        <v>18</v>
      </c>
      <c r="N24" s="227">
        <v>1</v>
      </c>
      <c r="O24" s="304" t="s">
        <v>16</v>
      </c>
      <c r="P24" s="135" t="s">
        <v>589</v>
      </c>
      <c r="Q24" s="304" t="s">
        <v>198</v>
      </c>
      <c r="R24" s="231">
        <v>3</v>
      </c>
      <c r="S24" s="231">
        <v>3</v>
      </c>
      <c r="T24" s="231">
        <v>4.25</v>
      </c>
      <c r="U24" s="231">
        <v>4.25</v>
      </c>
      <c r="V24" s="231">
        <v>4.25</v>
      </c>
      <c r="W24" s="231">
        <v>11</v>
      </c>
      <c r="X24" s="231">
        <v>11</v>
      </c>
      <c r="Y24" s="230">
        <v>4.25</v>
      </c>
      <c r="Z24" s="228">
        <v>1</v>
      </c>
      <c r="AA24" s="228">
        <v>0</v>
      </c>
      <c r="AB24" s="228">
        <v>1.0833333333333299</v>
      </c>
      <c r="AC24" s="227">
        <v>0.61111111111111105</v>
      </c>
    </row>
    <row r="25" spans="1:35" ht="15.6" x14ac:dyDescent="0.3">
      <c r="A25" s="348" t="s">
        <v>15</v>
      </c>
      <c r="B25" s="134" t="s">
        <v>597</v>
      </c>
      <c r="C25" s="348" t="s">
        <v>190</v>
      </c>
      <c r="D25" s="228">
        <v>230</v>
      </c>
      <c r="E25" s="228">
        <v>0</v>
      </c>
      <c r="F25" s="228">
        <v>0</v>
      </c>
      <c r="G25" s="228">
        <v>0</v>
      </c>
      <c r="H25" s="228">
        <v>600</v>
      </c>
      <c r="I25" s="228">
        <v>0</v>
      </c>
      <c r="J25" s="228">
        <v>1150</v>
      </c>
      <c r="K25" s="228">
        <v>42</v>
      </c>
      <c r="L25" s="228">
        <v>15</v>
      </c>
      <c r="M25" s="228">
        <v>11</v>
      </c>
      <c r="N25" s="227">
        <v>1.4</v>
      </c>
      <c r="O25" s="304" t="s">
        <v>16</v>
      </c>
      <c r="P25" s="135" t="s">
        <v>589</v>
      </c>
      <c r="Q25" s="304" t="s">
        <v>190</v>
      </c>
      <c r="R25" s="231">
        <v>3</v>
      </c>
      <c r="S25" s="231">
        <v>3</v>
      </c>
      <c r="T25" s="231">
        <v>4.4000000000000004</v>
      </c>
      <c r="U25" s="231">
        <v>4.4000000000000004</v>
      </c>
      <c r="V25" s="231">
        <v>4.4000000000000004</v>
      </c>
      <c r="W25" s="231">
        <v>11.4</v>
      </c>
      <c r="X25" s="231">
        <v>11.4</v>
      </c>
      <c r="Y25" s="230">
        <v>4.4000000000000004</v>
      </c>
      <c r="Z25" s="228">
        <v>1</v>
      </c>
      <c r="AA25" s="228">
        <v>0</v>
      </c>
      <c r="AB25" s="228">
        <v>1.1000000000000001</v>
      </c>
      <c r="AC25" s="227">
        <v>0.57777777777777894</v>
      </c>
    </row>
    <row r="26" spans="1:35" ht="15.6" x14ac:dyDescent="0.3">
      <c r="A26" s="348" t="s">
        <v>15</v>
      </c>
      <c r="B26" s="134" t="s">
        <v>598</v>
      </c>
      <c r="C26" s="348" t="s">
        <v>206</v>
      </c>
      <c r="D26" s="228">
        <v>296.61904761904799</v>
      </c>
      <c r="E26" s="228">
        <v>43.3333333333333</v>
      </c>
      <c r="F26" s="228">
        <v>136.09523809523799</v>
      </c>
      <c r="G26" s="228">
        <v>789.52380952381395</v>
      </c>
      <c r="H26" s="228">
        <v>390.95238095238102</v>
      </c>
      <c r="I26" s="228">
        <v>9.5238095238087794E-2</v>
      </c>
      <c r="J26" s="228">
        <v>1961.42857142857</v>
      </c>
      <c r="K26" s="228">
        <v>26.904761904761902</v>
      </c>
      <c r="L26" s="228">
        <v>15.619047619047601</v>
      </c>
      <c r="M26" s="228">
        <v>16.076190476190501</v>
      </c>
      <c r="N26" s="227">
        <v>1.29</v>
      </c>
      <c r="O26" s="304" t="s">
        <v>256</v>
      </c>
      <c r="P26" s="135" t="s">
        <v>589</v>
      </c>
      <c r="Q26" s="304" t="s">
        <v>206</v>
      </c>
      <c r="R26" s="231">
        <v>3</v>
      </c>
      <c r="S26" s="231">
        <v>3</v>
      </c>
      <c r="T26" s="231">
        <v>4.55</v>
      </c>
      <c r="U26" s="231">
        <v>4.55</v>
      </c>
      <c r="V26" s="231">
        <v>4.55</v>
      </c>
      <c r="W26" s="231">
        <v>11.8</v>
      </c>
      <c r="X26" s="231">
        <v>11.8</v>
      </c>
      <c r="Y26" s="230">
        <v>4.55</v>
      </c>
      <c r="Z26" s="228">
        <v>1</v>
      </c>
      <c r="AA26" s="228">
        <v>0</v>
      </c>
      <c r="AB26" s="228">
        <v>1.11666666666667</v>
      </c>
      <c r="AC26" s="227">
        <v>0.54444444444444595</v>
      </c>
    </row>
    <row r="27" spans="1:35" ht="15.6" x14ac:dyDescent="0.3">
      <c r="A27" s="348" t="s">
        <v>15</v>
      </c>
      <c r="B27" s="134" t="s">
        <v>598</v>
      </c>
      <c r="C27" s="348" t="s">
        <v>198</v>
      </c>
      <c r="D27" s="228">
        <v>298.47619047619003</v>
      </c>
      <c r="E27" s="228">
        <v>44.2424242424242</v>
      </c>
      <c r="F27" s="228">
        <v>137.47186147186099</v>
      </c>
      <c r="G27" s="228">
        <v>738.35497835498404</v>
      </c>
      <c r="H27" s="228">
        <v>385.36796536796498</v>
      </c>
      <c r="I27" s="228">
        <v>-3.0995670995671198</v>
      </c>
      <c r="J27" s="228">
        <v>1971.5584415584401</v>
      </c>
      <c r="K27" s="228">
        <v>26.138528138528098</v>
      </c>
      <c r="L27" s="228">
        <v>15.6320346320346</v>
      </c>
      <c r="M27" s="228">
        <v>16.260606060606101</v>
      </c>
      <c r="N27" s="227">
        <v>1.2812987012987</v>
      </c>
      <c r="O27" s="304" t="s">
        <v>256</v>
      </c>
      <c r="P27" s="135" t="s">
        <v>589</v>
      </c>
      <c r="Q27" s="304" t="s">
        <v>198</v>
      </c>
      <c r="R27" s="231">
        <v>3</v>
      </c>
      <c r="S27" s="231">
        <v>3</v>
      </c>
      <c r="T27" s="231">
        <v>4.7</v>
      </c>
      <c r="U27" s="231">
        <v>4.7</v>
      </c>
      <c r="V27" s="231">
        <v>4.7</v>
      </c>
      <c r="W27" s="231">
        <v>12.2</v>
      </c>
      <c r="X27" s="231">
        <v>12.2</v>
      </c>
      <c r="Y27" s="230">
        <v>4.7</v>
      </c>
      <c r="Z27" s="228">
        <v>1</v>
      </c>
      <c r="AA27" s="228">
        <v>0</v>
      </c>
      <c r="AB27" s="228">
        <v>1.13333333333333</v>
      </c>
      <c r="AC27" s="227">
        <v>0.51111111111111196</v>
      </c>
    </row>
    <row r="28" spans="1:35" ht="15.6" x14ac:dyDescent="0.3">
      <c r="A28" s="348" t="s">
        <v>15</v>
      </c>
      <c r="B28" s="134" t="s">
        <v>598</v>
      </c>
      <c r="C28" s="348" t="s">
        <v>190</v>
      </c>
      <c r="D28" s="228">
        <v>300.33333333333297</v>
      </c>
      <c r="E28" s="228">
        <v>45.151515151515099</v>
      </c>
      <c r="F28" s="228">
        <v>138.84848484848499</v>
      </c>
      <c r="G28" s="228">
        <v>687.18614718614401</v>
      </c>
      <c r="H28" s="228">
        <v>379.78354978354997</v>
      </c>
      <c r="I28" s="228">
        <v>-6.2943722943723204</v>
      </c>
      <c r="J28" s="228">
        <v>1981.68831168831</v>
      </c>
      <c r="K28" s="228">
        <v>25.372294372294402</v>
      </c>
      <c r="L28" s="228">
        <v>15.6450216450216</v>
      </c>
      <c r="M28" s="228">
        <v>16.445021645021601</v>
      </c>
      <c r="N28" s="227">
        <v>1.2725974025974001</v>
      </c>
      <c r="O28" s="304" t="s">
        <v>256</v>
      </c>
      <c r="P28" s="135" t="s">
        <v>589</v>
      </c>
      <c r="Q28" s="304" t="s">
        <v>190</v>
      </c>
      <c r="R28" s="231">
        <v>3</v>
      </c>
      <c r="S28" s="231">
        <v>3</v>
      </c>
      <c r="T28" s="231">
        <v>4.8499999999999996</v>
      </c>
      <c r="U28" s="231">
        <v>4.8499999999999996</v>
      </c>
      <c r="V28" s="231">
        <v>4.8499999999999996</v>
      </c>
      <c r="W28" s="231">
        <v>12.6</v>
      </c>
      <c r="X28" s="231">
        <v>12.6</v>
      </c>
      <c r="Y28" s="230">
        <v>4.8499999999999996</v>
      </c>
      <c r="Z28" s="228">
        <v>1</v>
      </c>
      <c r="AA28" s="228">
        <v>0</v>
      </c>
      <c r="AB28" s="228">
        <v>1.1499999999999999</v>
      </c>
      <c r="AC28" s="227">
        <v>0.47777777777777802</v>
      </c>
    </row>
    <row r="29" spans="1:35" ht="15.6" x14ac:dyDescent="0.3">
      <c r="A29" s="348" t="s">
        <v>15</v>
      </c>
      <c r="B29" s="134" t="s">
        <v>600</v>
      </c>
      <c r="C29" s="348" t="s">
        <v>206</v>
      </c>
      <c r="D29" s="228">
        <v>302.19047619047598</v>
      </c>
      <c r="E29" s="228">
        <v>46.060606060605998</v>
      </c>
      <c r="F29" s="228">
        <v>140.22510822510799</v>
      </c>
      <c r="G29" s="228">
        <v>636.01731601731399</v>
      </c>
      <c r="H29" s="228">
        <v>374.19913419913399</v>
      </c>
      <c r="I29" s="228">
        <v>-9.4891774891775196</v>
      </c>
      <c r="J29" s="228">
        <v>1991.8181818181799</v>
      </c>
      <c r="K29" s="228">
        <v>24.606060606060598</v>
      </c>
      <c r="L29" s="228">
        <v>15.658008658008701</v>
      </c>
      <c r="M29" s="228">
        <v>16.629437229437201</v>
      </c>
      <c r="N29" s="227">
        <v>1.2638961038961001</v>
      </c>
      <c r="O29" s="304" t="s">
        <v>255</v>
      </c>
      <c r="P29" s="135" t="s">
        <v>589</v>
      </c>
      <c r="Q29" s="304" t="s">
        <v>206</v>
      </c>
      <c r="R29" s="231">
        <v>3</v>
      </c>
      <c r="S29" s="231">
        <v>3</v>
      </c>
      <c r="T29" s="231">
        <v>5</v>
      </c>
      <c r="U29" s="231">
        <v>5</v>
      </c>
      <c r="V29" s="231">
        <v>5</v>
      </c>
      <c r="W29" s="231">
        <v>13</v>
      </c>
      <c r="X29" s="231">
        <v>13</v>
      </c>
      <c r="Y29" s="230">
        <v>5</v>
      </c>
      <c r="Z29" s="228">
        <v>1</v>
      </c>
      <c r="AA29" s="228">
        <v>0</v>
      </c>
      <c r="AB29" s="228">
        <v>1.1666666666666801</v>
      </c>
      <c r="AC29" s="227">
        <v>0.44444444444444697</v>
      </c>
    </row>
    <row r="30" spans="1:35" ht="15.6" x14ac:dyDescent="0.3">
      <c r="A30" s="348" t="s">
        <v>15</v>
      </c>
      <c r="B30" s="134" t="s">
        <v>600</v>
      </c>
      <c r="C30" s="348" t="s">
        <v>198</v>
      </c>
      <c r="D30" s="228">
        <v>304.04761904761898</v>
      </c>
      <c r="E30" s="228">
        <v>46.969696969696997</v>
      </c>
      <c r="F30" s="228">
        <v>141.60173160173201</v>
      </c>
      <c r="G30" s="228">
        <v>584.84848484848396</v>
      </c>
      <c r="H30" s="228">
        <v>368.61471861471802</v>
      </c>
      <c r="I30" s="228">
        <v>-12.6839826839827</v>
      </c>
      <c r="J30" s="228">
        <v>2001.9480519480501</v>
      </c>
      <c r="K30" s="228">
        <v>23.839826839826799</v>
      </c>
      <c r="L30" s="228">
        <v>15.670995670995699</v>
      </c>
      <c r="M30" s="228">
        <v>16.813852813852801</v>
      </c>
      <c r="N30" s="227">
        <v>1.2551948051948001</v>
      </c>
      <c r="O30" s="304" t="s">
        <v>255</v>
      </c>
      <c r="P30" s="135" t="s">
        <v>589</v>
      </c>
      <c r="Q30" s="304" t="s">
        <v>198</v>
      </c>
      <c r="R30" s="231">
        <v>3</v>
      </c>
      <c r="S30" s="231">
        <v>3</v>
      </c>
      <c r="T30" s="231">
        <v>5.15</v>
      </c>
      <c r="U30" s="231">
        <v>5.15</v>
      </c>
      <c r="V30" s="231">
        <v>5.15</v>
      </c>
      <c r="W30" s="231">
        <v>13.4</v>
      </c>
      <c r="X30" s="231">
        <v>13.4</v>
      </c>
      <c r="Y30" s="230">
        <v>5.15</v>
      </c>
      <c r="Z30" s="228">
        <v>1</v>
      </c>
      <c r="AA30" s="228">
        <v>0</v>
      </c>
      <c r="AB30" s="228">
        <v>1.18333333333335</v>
      </c>
      <c r="AC30" s="227">
        <v>0.41111111111111398</v>
      </c>
    </row>
    <row r="31" spans="1:35" ht="15.6" x14ac:dyDescent="0.3">
      <c r="A31" s="348" t="s">
        <v>15</v>
      </c>
      <c r="B31" s="134" t="s">
        <v>600</v>
      </c>
      <c r="C31" s="348" t="s">
        <v>190</v>
      </c>
      <c r="D31" s="228">
        <v>305.90476190476198</v>
      </c>
      <c r="E31" s="228">
        <v>47.878787878787797</v>
      </c>
      <c r="F31" s="228">
        <v>142.97835497835499</v>
      </c>
      <c r="G31" s="228">
        <v>533.67965367965405</v>
      </c>
      <c r="H31" s="228">
        <v>363.030303030303</v>
      </c>
      <c r="I31" s="228">
        <v>-15.8787878787879</v>
      </c>
      <c r="J31" s="228">
        <v>2012.07792207792</v>
      </c>
      <c r="K31" s="228">
        <v>23.073593073593099</v>
      </c>
      <c r="L31" s="228">
        <v>15.6839826839827</v>
      </c>
      <c r="M31" s="228">
        <v>16.998268398268401</v>
      </c>
      <c r="N31" s="227">
        <v>1.2464935064935101</v>
      </c>
      <c r="O31" s="304" t="s">
        <v>255</v>
      </c>
      <c r="P31" s="135" t="s">
        <v>589</v>
      </c>
      <c r="Q31" s="304" t="s">
        <v>190</v>
      </c>
      <c r="R31" s="231">
        <v>3</v>
      </c>
      <c r="S31" s="231">
        <v>3</v>
      </c>
      <c r="T31" s="231">
        <v>5.3</v>
      </c>
      <c r="U31" s="231">
        <v>5.3</v>
      </c>
      <c r="V31" s="231">
        <v>5.3</v>
      </c>
      <c r="W31" s="231">
        <v>13.8</v>
      </c>
      <c r="X31" s="231">
        <v>13.8</v>
      </c>
      <c r="Y31" s="230">
        <v>5.3</v>
      </c>
      <c r="Z31" s="228">
        <v>1</v>
      </c>
      <c r="AA31" s="228">
        <v>0</v>
      </c>
      <c r="AB31" s="228">
        <v>1.2000000000000199</v>
      </c>
      <c r="AC31" s="227">
        <v>0.37777777777778099</v>
      </c>
    </row>
    <row r="32" spans="1:35" ht="15.6" x14ac:dyDescent="0.3">
      <c r="A32" s="348" t="s">
        <v>15</v>
      </c>
      <c r="B32" s="134" t="s">
        <v>603</v>
      </c>
      <c r="C32" s="348" t="s">
        <v>206</v>
      </c>
      <c r="D32" s="228">
        <v>307.76190476190499</v>
      </c>
      <c r="E32" s="228">
        <v>48.787878787878803</v>
      </c>
      <c r="F32" s="228">
        <v>144.35497835497799</v>
      </c>
      <c r="G32" s="228">
        <v>482.51082251082403</v>
      </c>
      <c r="H32" s="228">
        <v>357.44588744588702</v>
      </c>
      <c r="I32" s="228">
        <v>-19.073593073593099</v>
      </c>
      <c r="J32" s="228">
        <v>2022.2077922077899</v>
      </c>
      <c r="K32" s="228">
        <v>22.307359307359299</v>
      </c>
      <c r="L32" s="228">
        <v>15.696969696969701</v>
      </c>
      <c r="M32" s="228">
        <v>17.182683982684001</v>
      </c>
      <c r="N32" s="227">
        <v>1.2377922077922101</v>
      </c>
      <c r="O32" s="304" t="s">
        <v>588</v>
      </c>
      <c r="P32" s="135" t="s">
        <v>589</v>
      </c>
      <c r="Q32" s="304" t="s">
        <v>206</v>
      </c>
      <c r="R32" s="231">
        <v>3</v>
      </c>
      <c r="S32" s="231">
        <v>3</v>
      </c>
      <c r="T32" s="231">
        <v>5.45</v>
      </c>
      <c r="U32" s="231">
        <v>5.45</v>
      </c>
      <c r="V32" s="231">
        <v>5.45</v>
      </c>
      <c r="W32" s="231">
        <v>14.2</v>
      </c>
      <c r="X32" s="231">
        <v>14.2</v>
      </c>
      <c r="Y32" s="230">
        <v>5.45</v>
      </c>
      <c r="Z32" s="228">
        <v>1</v>
      </c>
      <c r="AA32" s="228">
        <v>0</v>
      </c>
      <c r="AB32" s="228">
        <v>1.2166666666666901</v>
      </c>
      <c r="AC32" s="227">
        <v>0.34444444444444799</v>
      </c>
    </row>
    <row r="33" spans="1:29" ht="15.6" x14ac:dyDescent="0.3">
      <c r="A33" s="348" t="s">
        <v>15</v>
      </c>
      <c r="B33" s="134" t="s">
        <v>603</v>
      </c>
      <c r="C33" s="348" t="s">
        <v>198</v>
      </c>
      <c r="D33" s="228">
        <v>309.61904761904799</v>
      </c>
      <c r="E33" s="228">
        <v>49.696969696969603</v>
      </c>
      <c r="F33" s="228">
        <v>145.73160173160201</v>
      </c>
      <c r="G33" s="228">
        <v>431.341991341994</v>
      </c>
      <c r="H33" s="228">
        <v>351.86147186147201</v>
      </c>
      <c r="I33" s="228">
        <v>-22.2683982683983</v>
      </c>
      <c r="J33" s="228">
        <v>2032.33766233766</v>
      </c>
      <c r="K33" s="228">
        <v>21.541125541125499</v>
      </c>
      <c r="L33" s="228">
        <v>15.7099567099567</v>
      </c>
      <c r="M33" s="228">
        <v>17.367099567099601</v>
      </c>
      <c r="N33" s="227">
        <v>1.2290909090909099</v>
      </c>
      <c r="O33" s="304" t="s">
        <v>588</v>
      </c>
      <c r="P33" s="135" t="s">
        <v>589</v>
      </c>
      <c r="Q33" s="304" t="s">
        <v>198</v>
      </c>
      <c r="R33" s="231">
        <v>3</v>
      </c>
      <c r="S33" s="231">
        <v>3</v>
      </c>
      <c r="T33" s="231">
        <v>5.6</v>
      </c>
      <c r="U33" s="231">
        <v>5.6</v>
      </c>
      <c r="V33" s="231">
        <v>5.6</v>
      </c>
      <c r="W33" s="231">
        <v>14.6</v>
      </c>
      <c r="X33" s="231">
        <v>14.6</v>
      </c>
      <c r="Y33" s="230">
        <v>5.6</v>
      </c>
      <c r="Z33" s="228">
        <v>1</v>
      </c>
      <c r="AA33" s="228">
        <v>0</v>
      </c>
      <c r="AB33" s="228">
        <v>1.23333333333336</v>
      </c>
      <c r="AC33" s="227">
        <v>0.311111111111115</v>
      </c>
    </row>
    <row r="34" spans="1:29" ht="15.6" x14ac:dyDescent="0.3">
      <c r="A34" s="355" t="s">
        <v>15</v>
      </c>
      <c r="B34" s="134" t="s">
        <v>603</v>
      </c>
      <c r="C34" s="348" t="s">
        <v>190</v>
      </c>
      <c r="D34" s="228">
        <v>311.47619047619003</v>
      </c>
      <c r="E34" s="228">
        <v>50.606060606060701</v>
      </c>
      <c r="F34" s="228">
        <v>147.10822510822501</v>
      </c>
      <c r="G34" s="228">
        <v>380.17316017316398</v>
      </c>
      <c r="H34" s="228">
        <v>346.27705627705598</v>
      </c>
      <c r="I34" s="228">
        <v>-25.463203463203499</v>
      </c>
      <c r="J34" s="228">
        <v>2042.46753246753</v>
      </c>
      <c r="K34" s="228">
        <v>20.774891774891799</v>
      </c>
      <c r="L34" s="228">
        <v>15.7229437229437</v>
      </c>
      <c r="M34" s="228">
        <v>17.551515151515201</v>
      </c>
      <c r="N34" s="227">
        <v>1.2203896103896099</v>
      </c>
      <c r="O34" s="304" t="s">
        <v>588</v>
      </c>
      <c r="P34" s="135" t="s">
        <v>589</v>
      </c>
      <c r="Q34" s="304" t="s">
        <v>190</v>
      </c>
      <c r="R34" s="231">
        <v>3</v>
      </c>
      <c r="S34" s="231">
        <v>3</v>
      </c>
      <c r="T34" s="231">
        <v>5.75</v>
      </c>
      <c r="U34" s="231">
        <v>5.75</v>
      </c>
      <c r="V34" s="231">
        <v>5.75</v>
      </c>
      <c r="W34" s="231">
        <v>15</v>
      </c>
      <c r="X34" s="231">
        <v>15</v>
      </c>
      <c r="Y34" s="230">
        <v>5.75</v>
      </c>
      <c r="Z34" s="228">
        <v>1</v>
      </c>
      <c r="AA34" s="228">
        <v>0</v>
      </c>
      <c r="AB34" s="228">
        <v>1.25000000000003</v>
      </c>
      <c r="AC34" s="227">
        <v>0.27777777777778201</v>
      </c>
    </row>
    <row r="35" spans="1:29" ht="15.6" x14ac:dyDescent="0.3">
      <c r="A35" s="355" t="s">
        <v>15</v>
      </c>
      <c r="B35" s="134" t="s">
        <v>604</v>
      </c>
      <c r="C35" s="348" t="s">
        <v>206</v>
      </c>
      <c r="D35" s="228">
        <v>313.33333333333297</v>
      </c>
      <c r="E35" s="228">
        <v>51.515151515151501</v>
      </c>
      <c r="F35" s="228">
        <v>148.48484848484799</v>
      </c>
      <c r="G35" s="228">
        <v>329.00432900433401</v>
      </c>
      <c r="H35" s="228">
        <v>340.69264069264</v>
      </c>
      <c r="I35" s="228">
        <v>-28.658008658008601</v>
      </c>
      <c r="J35" s="228">
        <v>2052.5974025974001</v>
      </c>
      <c r="K35" s="228">
        <v>20.008658008657999</v>
      </c>
      <c r="L35" s="228">
        <v>15.735930735930699</v>
      </c>
      <c r="M35" s="228">
        <v>17.735930735930701</v>
      </c>
      <c r="N35" s="227">
        <v>1.2116883116883099</v>
      </c>
      <c r="S35" s="231"/>
      <c r="T35" s="231"/>
      <c r="U35" s="231"/>
      <c r="V35" s="231"/>
      <c r="W35" s="231"/>
      <c r="X35" s="231"/>
      <c r="Y35" s="230"/>
      <c r="Z35" s="228"/>
      <c r="AA35" s="228"/>
      <c r="AB35" s="228"/>
      <c r="AC35" s="227"/>
    </row>
    <row r="36" spans="1:29" ht="15.6" x14ac:dyDescent="0.3">
      <c r="A36" s="355" t="s">
        <v>15</v>
      </c>
      <c r="B36" s="134" t="s">
        <v>604</v>
      </c>
      <c r="C36" s="348" t="s">
        <v>198</v>
      </c>
      <c r="D36" s="228">
        <v>315.19047619047598</v>
      </c>
      <c r="E36" s="228">
        <v>52.4242424242425</v>
      </c>
      <c r="F36" s="228">
        <v>149.86147186147201</v>
      </c>
      <c r="G36" s="228">
        <v>277.83549783550399</v>
      </c>
      <c r="H36" s="228">
        <v>335.10822510822499</v>
      </c>
      <c r="I36" s="228">
        <v>-31.852813852813799</v>
      </c>
      <c r="J36" s="228">
        <v>2062.7272727272698</v>
      </c>
      <c r="K36" s="228">
        <v>19.242424242424299</v>
      </c>
      <c r="L36" s="228">
        <v>15.7489177489177</v>
      </c>
      <c r="M36" s="228">
        <v>17.920346320346301</v>
      </c>
      <c r="N36" s="227">
        <v>1.2029870129870099</v>
      </c>
      <c r="S36" s="231"/>
      <c r="T36" s="231"/>
      <c r="U36" s="231"/>
      <c r="V36" s="231"/>
      <c r="W36" s="231"/>
      <c r="X36" s="231"/>
      <c r="Y36" s="230"/>
      <c r="Z36" s="228"/>
      <c r="AA36" s="228"/>
      <c r="AB36" s="228"/>
      <c r="AC36" s="227"/>
    </row>
    <row r="37" spans="1:29" ht="15.6" x14ac:dyDescent="0.3">
      <c r="A37" s="355" t="s">
        <v>15</v>
      </c>
      <c r="B37" s="348" t="s">
        <v>604</v>
      </c>
      <c r="C37" s="348" t="s">
        <v>190</v>
      </c>
      <c r="D37" s="228">
        <v>317.04761904761898</v>
      </c>
      <c r="E37" s="228">
        <v>53.3333333333333</v>
      </c>
      <c r="F37" s="228">
        <v>151.23809523809501</v>
      </c>
      <c r="G37" s="228">
        <v>226.66666666666401</v>
      </c>
      <c r="H37" s="228">
        <v>329.52380952380901</v>
      </c>
      <c r="I37" s="228">
        <v>-35.047619047618802</v>
      </c>
      <c r="J37" s="228">
        <v>2072.8571428571399</v>
      </c>
      <c r="K37" s="228">
        <v>18.476190476190499</v>
      </c>
      <c r="L37" s="228">
        <v>15.7619047619048</v>
      </c>
      <c r="M37" s="228">
        <v>18.104761904761901</v>
      </c>
      <c r="N37" s="227">
        <v>1.19428571428571</v>
      </c>
      <c r="S37" s="231"/>
      <c r="T37" s="231"/>
      <c r="U37" s="231"/>
      <c r="V37" s="231"/>
      <c r="W37" s="231"/>
      <c r="X37" s="231"/>
      <c r="Y37" s="230"/>
      <c r="Z37" s="228"/>
      <c r="AA37" s="228"/>
      <c r="AB37" s="228"/>
      <c r="AC37" s="227"/>
    </row>
    <row r="38" spans="1:29" ht="15.6" x14ac:dyDescent="0.3">
      <c r="A38" s="355" t="s">
        <v>16</v>
      </c>
      <c r="B38" s="348" t="s">
        <v>594</v>
      </c>
      <c r="C38" s="348" t="s">
        <v>206</v>
      </c>
      <c r="D38" s="228">
        <v>324.47619047619003</v>
      </c>
      <c r="E38" s="228">
        <v>56.969696969696898</v>
      </c>
      <c r="F38" s="228">
        <v>156.74458874458901</v>
      </c>
      <c r="G38" s="228">
        <v>21.991341991343699</v>
      </c>
      <c r="H38" s="228">
        <v>307.18614718614702</v>
      </c>
      <c r="I38" s="228">
        <v>-47.826839826839802</v>
      </c>
      <c r="J38" s="228">
        <v>2113.37662337662</v>
      </c>
      <c r="K38" s="228">
        <v>15.4112554112554</v>
      </c>
      <c r="L38" s="228">
        <v>15.813852813852799</v>
      </c>
      <c r="M38" s="228">
        <v>18.842424242424201</v>
      </c>
      <c r="N38" s="227">
        <v>1.15948051948052</v>
      </c>
      <c r="S38" s="231"/>
      <c r="T38" s="231"/>
      <c r="U38" s="231"/>
      <c r="V38" s="231"/>
      <c r="W38" s="231"/>
      <c r="X38" s="231"/>
      <c r="Y38" s="230"/>
      <c r="Z38" s="228"/>
      <c r="AA38" s="228"/>
      <c r="AB38" s="228"/>
      <c r="AC38" s="227"/>
    </row>
    <row r="39" spans="1:29" ht="15.6" x14ac:dyDescent="0.3">
      <c r="A39" s="355" t="s">
        <v>16</v>
      </c>
      <c r="B39" s="348" t="s">
        <v>594</v>
      </c>
      <c r="C39" s="348" t="s">
        <v>198</v>
      </c>
      <c r="D39" s="228">
        <v>326.33333333333297</v>
      </c>
      <c r="E39" s="228">
        <v>57.878787878787797</v>
      </c>
      <c r="F39" s="228">
        <v>158.12121212121201</v>
      </c>
      <c r="G39" s="228">
        <v>-29.177489177486201</v>
      </c>
      <c r="H39" s="228">
        <v>301.60173160173099</v>
      </c>
      <c r="I39" s="228">
        <v>-51.021645021644801</v>
      </c>
      <c r="J39" s="228">
        <v>2123.5064935064902</v>
      </c>
      <c r="K39" s="228">
        <v>14.6450216450217</v>
      </c>
      <c r="L39" s="228">
        <v>15.8268398268398</v>
      </c>
      <c r="M39" s="228">
        <v>19.026839826839801</v>
      </c>
      <c r="N39" s="227">
        <v>1.15077922077922</v>
      </c>
      <c r="S39" s="231"/>
      <c r="T39" s="231"/>
      <c r="U39" s="231"/>
      <c r="V39" s="231"/>
      <c r="W39" s="231"/>
      <c r="X39" s="231"/>
      <c r="Y39" s="230"/>
      <c r="Z39" s="228"/>
      <c r="AA39" s="228"/>
      <c r="AB39" s="228"/>
      <c r="AC39" s="227"/>
    </row>
    <row r="40" spans="1:29" ht="15.6" x14ac:dyDescent="0.3">
      <c r="A40" s="355" t="s">
        <v>16</v>
      </c>
      <c r="B40" s="348" t="s">
        <v>594</v>
      </c>
      <c r="C40" s="348" t="s">
        <v>190</v>
      </c>
      <c r="D40" s="228">
        <v>328.19047619047598</v>
      </c>
      <c r="E40" s="228">
        <v>58.787878787878697</v>
      </c>
      <c r="F40" s="228">
        <v>159.49783549783501</v>
      </c>
      <c r="G40" s="228">
        <v>-80.346320346316404</v>
      </c>
      <c r="H40" s="228">
        <v>296.01731601731598</v>
      </c>
      <c r="I40" s="228">
        <v>-54.2164502164498</v>
      </c>
      <c r="J40" s="228">
        <v>2133.6363636363599</v>
      </c>
      <c r="K40" s="228">
        <v>13.8787878787879</v>
      </c>
      <c r="L40" s="228">
        <v>15.839826839826801</v>
      </c>
      <c r="M40" s="228">
        <v>19.211255411255401</v>
      </c>
      <c r="N40" s="227">
        <v>1.14207792207792</v>
      </c>
      <c r="S40" s="231"/>
      <c r="T40" s="231"/>
      <c r="U40" s="231"/>
      <c r="V40" s="231"/>
      <c r="W40" s="231"/>
      <c r="X40" s="231"/>
      <c r="Y40" s="230"/>
      <c r="Z40" s="228"/>
      <c r="AA40" s="228"/>
      <c r="AB40" s="228"/>
      <c r="AC40" s="227"/>
    </row>
    <row r="41" spans="1:29" ht="15.6" x14ac:dyDescent="0.3">
      <c r="A41" s="355" t="s">
        <v>16</v>
      </c>
      <c r="B41" s="134" t="s">
        <v>596</v>
      </c>
      <c r="C41" s="348" t="s">
        <v>206</v>
      </c>
      <c r="D41" s="228">
        <v>330.04761904761898</v>
      </c>
      <c r="E41" s="228">
        <v>59.696969696969703</v>
      </c>
      <c r="F41" s="228">
        <v>160.87445887445901</v>
      </c>
      <c r="G41" s="228">
        <v>-131.51515151514599</v>
      </c>
      <c r="H41" s="228">
        <v>290.4329004329</v>
      </c>
      <c r="I41" s="228">
        <v>-57.411255411255802</v>
      </c>
      <c r="J41" s="228">
        <v>2143.76623376623</v>
      </c>
      <c r="K41" s="228">
        <v>13.112554112554101</v>
      </c>
      <c r="L41" s="228">
        <v>15.852813852813901</v>
      </c>
      <c r="M41" s="228">
        <v>19.395670995671001</v>
      </c>
      <c r="N41" s="227">
        <v>1.13337662337662</v>
      </c>
      <c r="S41" s="231"/>
      <c r="T41" s="231"/>
      <c r="U41" s="231"/>
      <c r="V41" s="231"/>
      <c r="W41" s="231"/>
      <c r="X41" s="231"/>
      <c r="Y41" s="230"/>
      <c r="Z41" s="228"/>
      <c r="AA41" s="228"/>
      <c r="AB41" s="228"/>
      <c r="AC41" s="227"/>
    </row>
    <row r="42" spans="1:29" ht="15.6" x14ac:dyDescent="0.3">
      <c r="A42" s="355" t="s">
        <v>16</v>
      </c>
      <c r="B42" s="134" t="s">
        <v>596</v>
      </c>
      <c r="C42" s="348" t="s">
        <v>198</v>
      </c>
      <c r="D42" s="228">
        <v>331.90476190476198</v>
      </c>
      <c r="E42" s="228">
        <v>60.606060606060602</v>
      </c>
      <c r="F42" s="228">
        <v>162.25108225108201</v>
      </c>
      <c r="G42" s="228">
        <v>-182.68398268398599</v>
      </c>
      <c r="H42" s="228">
        <v>284.84848484848499</v>
      </c>
      <c r="I42" s="228">
        <v>-60.606060606060801</v>
      </c>
      <c r="J42" s="228">
        <v>2153.8961038961002</v>
      </c>
      <c r="K42" s="228">
        <v>12.3463203463204</v>
      </c>
      <c r="L42" s="228">
        <v>15.8658008658009</v>
      </c>
      <c r="M42" s="228">
        <v>19.580086580086601</v>
      </c>
      <c r="N42" s="227">
        <v>1.1246753246753201</v>
      </c>
      <c r="S42" s="231"/>
      <c r="T42" s="231"/>
      <c r="U42" s="231"/>
      <c r="V42" s="231"/>
      <c r="W42" s="231"/>
      <c r="X42" s="231"/>
      <c r="Y42" s="230"/>
      <c r="Z42" s="228"/>
      <c r="AA42" s="228"/>
      <c r="AB42" s="228"/>
      <c r="AC42" s="227"/>
    </row>
    <row r="43" spans="1:29" ht="15.6" x14ac:dyDescent="0.3">
      <c r="A43" s="355" t="s">
        <v>16</v>
      </c>
      <c r="B43" s="134" t="s">
        <v>596</v>
      </c>
      <c r="C43" s="348" t="s">
        <v>190</v>
      </c>
      <c r="D43" s="228">
        <v>333.76190476190499</v>
      </c>
      <c r="E43" s="228">
        <v>61.515151515151601</v>
      </c>
      <c r="F43" s="228">
        <v>163.62770562770601</v>
      </c>
      <c r="G43" s="228">
        <v>-233.85281385281601</v>
      </c>
      <c r="H43" s="228">
        <v>279.26406926406901</v>
      </c>
      <c r="I43" s="228">
        <v>-63.8008658008658</v>
      </c>
      <c r="J43" s="228">
        <v>2164.0259740259698</v>
      </c>
      <c r="K43" s="228">
        <v>11.580086580086601</v>
      </c>
      <c r="L43" s="228">
        <v>15.8787878787879</v>
      </c>
      <c r="M43" s="228">
        <v>19.764502164502201</v>
      </c>
      <c r="N43" s="227">
        <v>1.1159740259740301</v>
      </c>
      <c r="S43" s="231"/>
      <c r="T43" s="231"/>
      <c r="U43" s="231"/>
      <c r="V43" s="231"/>
      <c r="W43" s="231"/>
      <c r="X43" s="231"/>
      <c r="Y43" s="230"/>
      <c r="Z43" s="228"/>
      <c r="AA43" s="228"/>
      <c r="AB43" s="228"/>
      <c r="AC43" s="227"/>
    </row>
    <row r="44" spans="1:29" ht="15.6" x14ac:dyDescent="0.3">
      <c r="A44" s="355" t="s">
        <v>16</v>
      </c>
      <c r="B44" s="134" t="s">
        <v>599</v>
      </c>
      <c r="C44" s="348" t="s">
        <v>206</v>
      </c>
      <c r="D44" s="228">
        <v>335.61904761904799</v>
      </c>
      <c r="E44" s="228">
        <v>62.4242424242425</v>
      </c>
      <c r="F44" s="228">
        <v>165.00432900432901</v>
      </c>
      <c r="G44" s="228">
        <v>-285.02164502164601</v>
      </c>
      <c r="H44" s="228">
        <v>273.67965367965297</v>
      </c>
      <c r="I44" s="228">
        <v>-66.995670995670807</v>
      </c>
      <c r="J44" s="228">
        <v>2174.15584415584</v>
      </c>
      <c r="K44" s="228">
        <v>10.813852813852799</v>
      </c>
      <c r="L44" s="228">
        <v>15.891774891774901</v>
      </c>
      <c r="M44" s="228">
        <v>19.9489177489178</v>
      </c>
      <c r="N44" s="227">
        <v>1.1072727272727301</v>
      </c>
      <c r="S44" s="231"/>
      <c r="T44" s="231"/>
      <c r="U44" s="231"/>
      <c r="V44" s="231"/>
      <c r="W44" s="231"/>
      <c r="X44" s="231"/>
      <c r="Y44" s="230"/>
      <c r="Z44" s="228"/>
      <c r="AA44" s="228"/>
      <c r="AB44" s="228"/>
      <c r="AC44" s="227"/>
    </row>
    <row r="45" spans="1:29" ht="15.6" x14ac:dyDescent="0.3">
      <c r="A45" s="355" t="s">
        <v>16</v>
      </c>
      <c r="B45" s="134" t="s">
        <v>599</v>
      </c>
      <c r="C45" s="348" t="s">
        <v>198</v>
      </c>
      <c r="D45" s="228">
        <v>337.47619047619003</v>
      </c>
      <c r="E45" s="228">
        <v>63.3333333333333</v>
      </c>
      <c r="F45" s="228">
        <v>166.38095238095201</v>
      </c>
      <c r="G45" s="228">
        <v>-336.19047619047598</v>
      </c>
      <c r="H45" s="228">
        <v>268.09523809523802</v>
      </c>
      <c r="I45" s="228">
        <v>-70.190476190475806</v>
      </c>
      <c r="J45" s="228">
        <v>2184.2857142857101</v>
      </c>
      <c r="K45" s="228">
        <v>10.047619047619101</v>
      </c>
      <c r="L45" s="228">
        <v>15.9047619047619</v>
      </c>
      <c r="M45" s="228">
        <v>20.133333333333301</v>
      </c>
      <c r="N45" s="227">
        <v>1.0985714285714301</v>
      </c>
      <c r="S45" s="231"/>
      <c r="T45" s="231"/>
      <c r="U45" s="231"/>
      <c r="V45" s="231"/>
      <c r="W45" s="231"/>
      <c r="X45" s="231"/>
      <c r="Y45" s="230"/>
      <c r="Z45" s="228"/>
      <c r="AA45" s="228"/>
      <c r="AB45" s="228"/>
      <c r="AC45" s="227"/>
    </row>
    <row r="46" spans="1:29" ht="15.6" x14ac:dyDescent="0.3">
      <c r="A46" s="355" t="s">
        <v>16</v>
      </c>
      <c r="B46" s="134" t="s">
        <v>599</v>
      </c>
      <c r="C46" s="348" t="s">
        <v>190</v>
      </c>
      <c r="D46" s="228">
        <v>339.33333333333297</v>
      </c>
      <c r="E46" s="228">
        <v>64.242424242424207</v>
      </c>
      <c r="F46" s="228">
        <v>167.75757575757601</v>
      </c>
      <c r="G46" s="228">
        <v>-387.35930735930702</v>
      </c>
      <c r="H46" s="228">
        <v>262.51082251082198</v>
      </c>
      <c r="I46" s="228">
        <v>-73.3852813852818</v>
      </c>
      <c r="J46" s="228">
        <v>2194.4155844155798</v>
      </c>
      <c r="K46" s="228">
        <v>9.2813852813852904</v>
      </c>
      <c r="L46" s="228">
        <v>15.9177489177489</v>
      </c>
      <c r="M46" s="228">
        <v>20.317748917748901</v>
      </c>
      <c r="N46" s="227">
        <v>1.0898701298701301</v>
      </c>
      <c r="S46" s="231"/>
      <c r="T46" s="231"/>
      <c r="U46" s="231"/>
      <c r="V46" s="231"/>
      <c r="W46" s="231"/>
      <c r="X46" s="231"/>
      <c r="Y46" s="230"/>
      <c r="Z46" s="228"/>
      <c r="AA46" s="228"/>
      <c r="AB46" s="228"/>
      <c r="AC46" s="227"/>
    </row>
    <row r="47" spans="1:29" ht="15.6" x14ac:dyDescent="0.3">
      <c r="A47" s="355" t="s">
        <v>16</v>
      </c>
      <c r="B47" s="134" t="s">
        <v>601</v>
      </c>
      <c r="C47" s="348" t="s">
        <v>206</v>
      </c>
      <c r="D47" s="228">
        <v>341.19047619047598</v>
      </c>
      <c r="E47" s="228">
        <v>65.151515151515198</v>
      </c>
      <c r="F47" s="228">
        <v>169.13419913419901</v>
      </c>
      <c r="G47" s="228">
        <v>-438.52813852813603</v>
      </c>
      <c r="H47" s="228">
        <v>256.92640692640703</v>
      </c>
      <c r="I47" s="228">
        <v>-76.5800865800868</v>
      </c>
      <c r="J47" s="228">
        <v>2204.54545454545</v>
      </c>
      <c r="K47" s="228">
        <v>8.5151515151514907</v>
      </c>
      <c r="L47" s="228">
        <v>15.930735930735899</v>
      </c>
      <c r="M47" s="228">
        <v>20.502164502164501</v>
      </c>
      <c r="N47" s="227">
        <v>1.0811688311688299</v>
      </c>
      <c r="S47" s="231"/>
      <c r="T47" s="231"/>
      <c r="U47" s="231"/>
      <c r="V47" s="231"/>
      <c r="W47" s="231"/>
      <c r="X47" s="231"/>
      <c r="Y47" s="230"/>
      <c r="Z47" s="228"/>
      <c r="AA47" s="228"/>
      <c r="AB47" s="228"/>
      <c r="AC47" s="227"/>
    </row>
    <row r="48" spans="1:29" ht="15.6" x14ac:dyDescent="0.3">
      <c r="A48" s="355" t="s">
        <v>16</v>
      </c>
      <c r="B48" s="134" t="s">
        <v>601</v>
      </c>
      <c r="C48" s="348" t="s">
        <v>198</v>
      </c>
      <c r="D48" s="228">
        <v>343.04761904761898</v>
      </c>
      <c r="E48" s="228">
        <v>66.060606060606005</v>
      </c>
      <c r="F48" s="228">
        <v>170.510822510823</v>
      </c>
      <c r="G48" s="228">
        <v>-489.69696969696599</v>
      </c>
      <c r="H48" s="228">
        <v>251.34199134199099</v>
      </c>
      <c r="I48" s="228">
        <v>-79.774891774891799</v>
      </c>
      <c r="J48" s="228">
        <v>2214.6753246753201</v>
      </c>
      <c r="K48" s="228">
        <v>7.7489177489177896</v>
      </c>
      <c r="L48" s="228">
        <v>15.9437229437229</v>
      </c>
      <c r="M48" s="228">
        <v>20.686580086580101</v>
      </c>
      <c r="N48" s="227">
        <v>1.0724675324675299</v>
      </c>
      <c r="S48" s="231"/>
      <c r="T48" s="231"/>
      <c r="U48" s="231"/>
      <c r="V48" s="231"/>
      <c r="W48" s="231"/>
      <c r="X48" s="231"/>
      <c r="Y48" s="230"/>
      <c r="Z48" s="228"/>
      <c r="AA48" s="228"/>
      <c r="AB48" s="228"/>
      <c r="AC48" s="227"/>
    </row>
    <row r="49" spans="1:29" ht="15.6" x14ac:dyDescent="0.3">
      <c r="A49" s="355" t="s">
        <v>16</v>
      </c>
      <c r="B49" s="134" t="s">
        <v>601</v>
      </c>
      <c r="C49" s="348" t="s">
        <v>190</v>
      </c>
      <c r="D49" s="228">
        <v>344.90476190476198</v>
      </c>
      <c r="E49" s="228">
        <v>66.969696969696898</v>
      </c>
      <c r="F49" s="228">
        <v>171.88744588744601</v>
      </c>
      <c r="G49" s="228">
        <v>-540.86580086579602</v>
      </c>
      <c r="H49" s="228">
        <v>245.75757575757501</v>
      </c>
      <c r="I49" s="228">
        <v>-82.969696969696798</v>
      </c>
      <c r="J49" s="228">
        <v>2224.8051948051898</v>
      </c>
      <c r="K49" s="228">
        <v>6.9826839826839899</v>
      </c>
      <c r="L49" s="228">
        <v>15.95670995671</v>
      </c>
      <c r="M49" s="228">
        <v>20.870995670995701</v>
      </c>
      <c r="N49" s="227">
        <v>1.0637662337662299</v>
      </c>
      <c r="S49" s="231"/>
      <c r="T49" s="231"/>
      <c r="U49" s="231"/>
      <c r="V49" s="231"/>
      <c r="W49" s="231"/>
      <c r="X49" s="231"/>
      <c r="Y49" s="230"/>
      <c r="Z49" s="228"/>
      <c r="AA49" s="228"/>
      <c r="AB49" s="228"/>
      <c r="AC49" s="227"/>
    </row>
    <row r="50" spans="1:29" ht="15.6" x14ac:dyDescent="0.3">
      <c r="A50" s="355" t="s">
        <v>16</v>
      </c>
      <c r="B50" s="134" t="s">
        <v>604</v>
      </c>
      <c r="C50" s="348" t="s">
        <v>206</v>
      </c>
      <c r="D50" s="228">
        <v>346.76190476190499</v>
      </c>
      <c r="E50" s="228">
        <v>67.878787878787804</v>
      </c>
      <c r="F50" s="228">
        <v>173.26406926406901</v>
      </c>
      <c r="G50" s="228">
        <v>-592.03463203462604</v>
      </c>
      <c r="H50" s="228">
        <v>240.17316017316</v>
      </c>
      <c r="I50" s="228">
        <v>-86.164502164501798</v>
      </c>
      <c r="J50" s="228">
        <v>2234.9350649350599</v>
      </c>
      <c r="K50" s="228">
        <v>6.2164502164501902</v>
      </c>
      <c r="L50" s="228">
        <v>15.969696969697001</v>
      </c>
      <c r="M50" s="228">
        <v>21.0554112554113</v>
      </c>
      <c r="N50" s="227">
        <v>1.0550649350649299</v>
      </c>
      <c r="S50" s="231"/>
      <c r="T50" s="231"/>
      <c r="U50" s="231"/>
      <c r="V50" s="231"/>
      <c r="W50" s="231"/>
      <c r="X50" s="231"/>
      <c r="Y50" s="230"/>
      <c r="Z50" s="228"/>
      <c r="AA50" s="228"/>
      <c r="AB50" s="228"/>
      <c r="AC50" s="227"/>
    </row>
    <row r="51" spans="1:29" ht="15.6" x14ac:dyDescent="0.3">
      <c r="A51" s="355" t="s">
        <v>16</v>
      </c>
      <c r="B51" s="134" t="s">
        <v>604</v>
      </c>
      <c r="C51" s="348" t="s">
        <v>198</v>
      </c>
      <c r="D51" s="228">
        <v>348.61904761904799</v>
      </c>
      <c r="E51" s="228">
        <v>68.787878787878796</v>
      </c>
      <c r="F51" s="228">
        <v>174.640692640693</v>
      </c>
      <c r="G51" s="228">
        <v>-643.20346320346698</v>
      </c>
      <c r="H51" s="228">
        <v>234.58874458874399</v>
      </c>
      <c r="I51" s="228">
        <v>-89.359307359307806</v>
      </c>
      <c r="J51" s="228">
        <v>2245.0649350649301</v>
      </c>
      <c r="K51" s="228">
        <v>5.45021645021649</v>
      </c>
      <c r="L51" s="228">
        <v>15.982683982684</v>
      </c>
      <c r="M51" s="228">
        <v>21.239826839826801</v>
      </c>
      <c r="N51" s="227">
        <v>1.0463636363636399</v>
      </c>
      <c r="S51" s="231"/>
      <c r="T51" s="231"/>
      <c r="U51" s="231"/>
      <c r="V51" s="231"/>
      <c r="W51" s="231"/>
      <c r="X51" s="231"/>
      <c r="Y51" s="230"/>
      <c r="Z51" s="228"/>
      <c r="AA51" s="228"/>
      <c r="AB51" s="228"/>
      <c r="AC51" s="227"/>
    </row>
    <row r="52" spans="1:29" ht="15.6" x14ac:dyDescent="0.3">
      <c r="A52" s="355" t="s">
        <v>16</v>
      </c>
      <c r="B52" s="134" t="s">
        <v>604</v>
      </c>
      <c r="C52" s="348" t="s">
        <v>190</v>
      </c>
      <c r="D52" s="228">
        <v>350.47619047619003</v>
      </c>
      <c r="E52" s="228">
        <v>69.696969696969703</v>
      </c>
      <c r="F52" s="228">
        <v>176.01731601731601</v>
      </c>
      <c r="G52" s="228">
        <v>-694.37229437229598</v>
      </c>
      <c r="H52" s="228">
        <v>229.00432900432901</v>
      </c>
      <c r="I52" s="228">
        <v>-92.554112554112805</v>
      </c>
      <c r="J52" s="228">
        <v>2255.1948051948002</v>
      </c>
      <c r="K52" s="228">
        <v>4.6839826839826904</v>
      </c>
      <c r="L52" s="228">
        <v>15.995670995671</v>
      </c>
      <c r="M52" s="228">
        <v>21.424242424242401</v>
      </c>
      <c r="N52" s="227">
        <v>1.03766233766234</v>
      </c>
      <c r="S52" s="231"/>
      <c r="T52" s="231"/>
      <c r="U52" s="231"/>
      <c r="V52" s="231"/>
      <c r="W52" s="231"/>
      <c r="X52" s="231"/>
      <c r="Y52" s="230"/>
      <c r="Z52" s="228"/>
      <c r="AA52" s="228"/>
      <c r="AB52" s="228"/>
      <c r="AC52" s="227"/>
    </row>
    <row r="53" spans="1:29" ht="15.6" x14ac:dyDescent="0.3">
      <c r="A53" s="355" t="s">
        <v>256</v>
      </c>
      <c r="B53" s="134" t="s">
        <v>590</v>
      </c>
      <c r="C53" s="348" t="s">
        <v>206</v>
      </c>
      <c r="D53" s="228">
        <v>352.33333333333297</v>
      </c>
      <c r="E53" s="228">
        <v>70.606060606060595</v>
      </c>
      <c r="F53" s="228">
        <v>177.39393939393901</v>
      </c>
      <c r="G53" s="228">
        <v>-745.54112554112601</v>
      </c>
      <c r="H53" s="228">
        <v>223.419913419913</v>
      </c>
      <c r="I53" s="228">
        <v>-95.748917748917805</v>
      </c>
      <c r="J53" s="228">
        <v>2265.3246753246799</v>
      </c>
      <c r="K53" s="228">
        <v>3.9177489177488898</v>
      </c>
      <c r="L53" s="228">
        <v>16.008658008657999</v>
      </c>
      <c r="M53" s="228">
        <v>21.608658008658001</v>
      </c>
      <c r="N53" s="227">
        <v>1.02896103896104</v>
      </c>
      <c r="S53" s="231"/>
      <c r="T53" s="231"/>
      <c r="U53" s="231"/>
      <c r="V53" s="231"/>
      <c r="W53" s="231"/>
      <c r="X53" s="231"/>
      <c r="Y53" s="230"/>
      <c r="Z53" s="228"/>
      <c r="AA53" s="228"/>
      <c r="AB53" s="228"/>
      <c r="AC53" s="227"/>
    </row>
    <row r="54" spans="1:29" ht="15.6" x14ac:dyDescent="0.3">
      <c r="A54" s="355" t="s">
        <v>256</v>
      </c>
      <c r="B54" s="134" t="s">
        <v>590</v>
      </c>
      <c r="C54" s="348" t="s">
        <v>198</v>
      </c>
      <c r="D54" s="228">
        <v>354.19047619047598</v>
      </c>
      <c r="E54" s="228">
        <v>71.515151515151601</v>
      </c>
      <c r="F54" s="228">
        <v>178.770562770563</v>
      </c>
      <c r="G54" s="228">
        <v>-796.70995670995603</v>
      </c>
      <c r="H54" s="228">
        <v>217.83549783549699</v>
      </c>
      <c r="I54" s="228">
        <v>-98.943722943722804</v>
      </c>
      <c r="J54" s="228">
        <v>2275.45454545455</v>
      </c>
      <c r="K54" s="228">
        <v>3.15151515151519</v>
      </c>
      <c r="L54" s="228">
        <v>16.021645021645</v>
      </c>
      <c r="M54" s="228">
        <v>21.793073593073601</v>
      </c>
      <c r="N54" s="227">
        <v>1.02025974025974</v>
      </c>
      <c r="S54" s="231"/>
      <c r="T54" s="231"/>
      <c r="U54" s="231"/>
      <c r="V54" s="231"/>
      <c r="W54" s="231"/>
      <c r="X54" s="231"/>
      <c r="Y54" s="230"/>
      <c r="Z54" s="228"/>
      <c r="AA54" s="228"/>
      <c r="AB54" s="228"/>
      <c r="AC54" s="227"/>
    </row>
    <row r="55" spans="1:29" ht="15.6" x14ac:dyDescent="0.3">
      <c r="A55" s="355" t="s">
        <v>256</v>
      </c>
      <c r="B55" s="134" t="s">
        <v>590</v>
      </c>
      <c r="C55" s="348" t="s">
        <v>190</v>
      </c>
      <c r="D55" s="228">
        <v>356.04761904761898</v>
      </c>
      <c r="E55" s="228">
        <v>72.424242424242493</v>
      </c>
      <c r="F55" s="228">
        <v>180.14718614718601</v>
      </c>
      <c r="G55" s="228">
        <v>-847.87878787878606</v>
      </c>
      <c r="H55" s="228">
        <v>212.25108225108201</v>
      </c>
      <c r="I55" s="228">
        <v>-102.138528138528</v>
      </c>
      <c r="J55" s="228">
        <v>2285.5844155844202</v>
      </c>
      <c r="K55" s="228">
        <v>2.3852813852813899</v>
      </c>
      <c r="L55" s="228">
        <v>16.034632034632001</v>
      </c>
      <c r="M55" s="228">
        <v>21.977489177489201</v>
      </c>
      <c r="N55" s="227">
        <v>1.01155844155844</v>
      </c>
      <c r="S55" s="231"/>
      <c r="T55" s="231"/>
      <c r="U55" s="231"/>
      <c r="V55" s="231"/>
      <c r="W55" s="231"/>
      <c r="X55" s="231"/>
      <c r="Y55" s="230"/>
      <c r="Z55" s="228"/>
      <c r="AA55" s="228"/>
      <c r="AB55" s="228"/>
      <c r="AC55" s="227"/>
    </row>
    <row r="56" spans="1:29" ht="15.6" x14ac:dyDescent="0.3">
      <c r="A56" s="355" t="s">
        <v>256</v>
      </c>
      <c r="B56" s="357" t="s">
        <v>591</v>
      </c>
      <c r="C56" s="348" t="s">
        <v>206</v>
      </c>
      <c r="D56" s="228">
        <v>357.90476190476198</v>
      </c>
      <c r="E56" s="228">
        <v>73.3333333333333</v>
      </c>
      <c r="F56" s="228">
        <v>181.52380952381</v>
      </c>
      <c r="G56" s="228">
        <v>-899.04761904761699</v>
      </c>
      <c r="H56" s="228">
        <v>206.666666666666</v>
      </c>
      <c r="I56" s="228">
        <v>-105.333333333334</v>
      </c>
      <c r="J56" s="228">
        <v>2295.7142857142899</v>
      </c>
      <c r="K56" s="228">
        <v>1.61904761904759</v>
      </c>
      <c r="L56" s="228">
        <v>16.047619047619001</v>
      </c>
      <c r="M56" s="228">
        <v>22.1619047619048</v>
      </c>
      <c r="N56" s="227">
        <v>1.00285714285714</v>
      </c>
      <c r="S56" s="231"/>
      <c r="T56" s="231"/>
      <c r="U56" s="231"/>
      <c r="V56" s="231"/>
      <c r="W56" s="231"/>
      <c r="X56" s="231"/>
      <c r="Y56" s="230"/>
      <c r="Z56" s="228"/>
      <c r="AA56" s="228"/>
      <c r="AB56" s="228"/>
      <c r="AC56" s="227"/>
    </row>
    <row r="57" spans="1:29" ht="15.6" x14ac:dyDescent="0.3">
      <c r="A57" s="355" t="s">
        <v>256</v>
      </c>
      <c r="B57" s="357" t="s">
        <v>591</v>
      </c>
      <c r="C57" s="348" t="s">
        <v>198</v>
      </c>
      <c r="D57" s="228">
        <v>359.76190476190499</v>
      </c>
      <c r="E57" s="228">
        <v>74.242424242424207</v>
      </c>
      <c r="F57" s="228">
        <v>182.900432900433</v>
      </c>
      <c r="G57" s="228">
        <v>-950.21645021644599</v>
      </c>
      <c r="H57" s="228">
        <v>201.08225108225099</v>
      </c>
      <c r="I57" s="228">
        <v>-108.528138528139</v>
      </c>
      <c r="J57" s="228">
        <v>2305.84415584416</v>
      </c>
      <c r="K57" s="228">
        <v>0.852813852813888</v>
      </c>
      <c r="L57" s="228">
        <v>16.060606060606101</v>
      </c>
      <c r="M57" s="228">
        <v>22.346320346320301</v>
      </c>
      <c r="N57" s="227">
        <v>0.99415584415584402</v>
      </c>
      <c r="S57" s="231"/>
      <c r="T57" s="231"/>
      <c r="U57" s="231"/>
      <c r="V57" s="231"/>
      <c r="W57" s="231"/>
      <c r="X57" s="231"/>
      <c r="Y57" s="230"/>
      <c r="Z57" s="228"/>
      <c r="AA57" s="228"/>
      <c r="AB57" s="228"/>
      <c r="AC57" s="227"/>
    </row>
    <row r="58" spans="1:29" ht="15.6" x14ac:dyDescent="0.3">
      <c r="A58" s="355" t="s">
        <v>256</v>
      </c>
      <c r="B58" s="357" t="s">
        <v>591</v>
      </c>
      <c r="C58" s="348" t="s">
        <v>190</v>
      </c>
      <c r="D58" s="228">
        <v>361.61904761904799</v>
      </c>
      <c r="E58" s="228">
        <v>75.151515151515198</v>
      </c>
      <c r="F58" s="228">
        <v>184.277056277056</v>
      </c>
      <c r="G58" s="228">
        <v>-1001.38528138528</v>
      </c>
      <c r="H58" s="228">
        <v>195.49783549783501</v>
      </c>
      <c r="I58" s="228">
        <v>-111.722943722944</v>
      </c>
      <c r="J58" s="228">
        <v>2315.9740259740302</v>
      </c>
      <c r="K58" s="228">
        <v>8.65800865800921E-2</v>
      </c>
      <c r="L58" s="228">
        <v>16.073593073593099</v>
      </c>
      <c r="M58" s="228">
        <v>22.530735930735901</v>
      </c>
      <c r="N58" s="227">
        <v>0.98545454545454603</v>
      </c>
      <c r="S58" s="231"/>
      <c r="T58" s="231"/>
      <c r="U58" s="231"/>
      <c r="V58" s="231"/>
      <c r="W58" s="231"/>
      <c r="X58" s="231"/>
      <c r="Y58" s="230"/>
      <c r="Z58" s="228"/>
      <c r="AA58" s="228"/>
      <c r="AB58" s="228"/>
      <c r="AC58" s="227"/>
    </row>
    <row r="59" spans="1:29" ht="15.6" x14ac:dyDescent="0.3">
      <c r="A59" s="355" t="s">
        <v>256</v>
      </c>
      <c r="B59" s="357" t="s">
        <v>593</v>
      </c>
      <c r="C59" s="348" t="s">
        <v>206</v>
      </c>
      <c r="D59" s="228">
        <v>363.47619047619099</v>
      </c>
      <c r="E59" s="228">
        <v>76.060606060606005</v>
      </c>
      <c r="F59" s="228">
        <v>185.65367965368</v>
      </c>
      <c r="G59" s="228">
        <v>-1052.5541125541099</v>
      </c>
      <c r="H59" s="228">
        <v>189.91341991342</v>
      </c>
      <c r="I59" s="228">
        <v>-114.91774891774899</v>
      </c>
      <c r="J59" s="228">
        <v>2326.1038961038998</v>
      </c>
      <c r="K59" s="228">
        <v>-0.67965367965371104</v>
      </c>
      <c r="L59" s="228">
        <v>16.086580086580099</v>
      </c>
      <c r="M59" s="228">
        <v>22.715151515151501</v>
      </c>
      <c r="N59" s="227">
        <v>0.97675324675324704</v>
      </c>
      <c r="S59" s="231"/>
      <c r="T59" s="231"/>
      <c r="U59" s="231"/>
      <c r="V59" s="231"/>
      <c r="W59" s="231"/>
      <c r="X59" s="231"/>
      <c r="Y59" s="230"/>
      <c r="Z59" s="228"/>
      <c r="AA59" s="228"/>
      <c r="AB59" s="228"/>
      <c r="AC59" s="227"/>
    </row>
    <row r="60" spans="1:29" ht="15.6" x14ac:dyDescent="0.3">
      <c r="A60" s="355" t="s">
        <v>256</v>
      </c>
      <c r="B60" s="357" t="s">
        <v>593</v>
      </c>
      <c r="C60" s="348" t="s">
        <v>198</v>
      </c>
      <c r="D60" s="228">
        <v>365.333333333334</v>
      </c>
      <c r="E60" s="228">
        <v>76.969696969696898</v>
      </c>
      <c r="F60" s="228">
        <v>187.030303030303</v>
      </c>
      <c r="G60" s="228">
        <v>-1103.72294372295</v>
      </c>
      <c r="H60" s="228">
        <v>184.32900432900399</v>
      </c>
      <c r="I60" s="228">
        <v>-118.11255411255399</v>
      </c>
      <c r="J60" s="228">
        <v>2336.23376623377</v>
      </c>
      <c r="K60" s="228">
        <v>-1.44588744588741</v>
      </c>
      <c r="L60" s="228">
        <v>16.0995670995671</v>
      </c>
      <c r="M60" s="228">
        <v>22.899567099567101</v>
      </c>
      <c r="N60" s="227">
        <v>0.96805194805194805</v>
      </c>
      <c r="S60" s="231"/>
      <c r="T60" s="231"/>
      <c r="U60" s="231"/>
      <c r="V60" s="231"/>
      <c r="W60" s="231"/>
      <c r="X60" s="231"/>
      <c r="Y60" s="230"/>
      <c r="Z60" s="228"/>
      <c r="AA60" s="228"/>
      <c r="AB60" s="228"/>
      <c r="AC60" s="227"/>
    </row>
    <row r="61" spans="1:29" ht="15.6" x14ac:dyDescent="0.3">
      <c r="A61" s="355" t="s">
        <v>256</v>
      </c>
      <c r="B61" s="357" t="s">
        <v>593</v>
      </c>
      <c r="C61" s="348" t="s">
        <v>190</v>
      </c>
      <c r="D61" s="228">
        <v>367.190476190477</v>
      </c>
      <c r="E61" s="228">
        <v>77.878787878787804</v>
      </c>
      <c r="F61" s="228">
        <v>188.406926406926</v>
      </c>
      <c r="G61" s="228">
        <v>-1154.89177489178</v>
      </c>
      <c r="H61" s="228">
        <v>178.74458874458799</v>
      </c>
      <c r="I61" s="228">
        <v>-121.30735930736</v>
      </c>
      <c r="J61" s="228">
        <v>2346.3636363636401</v>
      </c>
      <c r="K61" s="228">
        <v>-2.2121212121212102</v>
      </c>
      <c r="L61" s="228">
        <v>16.112554112554101</v>
      </c>
      <c r="M61" s="228">
        <v>23.0839826839827</v>
      </c>
      <c r="N61" s="227">
        <v>0.95935064935064995</v>
      </c>
      <c r="S61" s="231"/>
      <c r="T61" s="231"/>
      <c r="U61" s="231"/>
      <c r="V61" s="231"/>
      <c r="W61" s="231"/>
      <c r="X61" s="231"/>
      <c r="Y61" s="230"/>
      <c r="Z61" s="228"/>
      <c r="AA61" s="228"/>
      <c r="AB61" s="228"/>
      <c r="AC61" s="227"/>
    </row>
    <row r="62" spans="1:29" ht="15.6" x14ac:dyDescent="0.3">
      <c r="A62" s="355" t="s">
        <v>256</v>
      </c>
      <c r="B62" s="357" t="s">
        <v>596</v>
      </c>
      <c r="C62" s="348" t="s">
        <v>206</v>
      </c>
      <c r="D62" s="228">
        <v>369.04761904761898</v>
      </c>
      <c r="E62" s="228">
        <v>78.787878787878796</v>
      </c>
      <c r="F62" s="228">
        <v>189.78354978355</v>
      </c>
      <c r="G62" s="228">
        <v>-1206.0606060606101</v>
      </c>
      <c r="H62" s="228">
        <v>173.160173160173</v>
      </c>
      <c r="I62" s="228">
        <v>-124.502164502165</v>
      </c>
      <c r="J62" s="228">
        <v>2356.4935064935098</v>
      </c>
      <c r="K62" s="228">
        <v>-2.9783549783550098</v>
      </c>
      <c r="L62" s="228">
        <v>16.125541125541101</v>
      </c>
      <c r="M62" s="228">
        <v>23.2683982683983</v>
      </c>
      <c r="N62" s="227">
        <v>0.95064935064935097</v>
      </c>
      <c r="S62" s="231"/>
      <c r="T62" s="231"/>
      <c r="U62" s="231"/>
      <c r="V62" s="231"/>
      <c r="W62" s="231"/>
      <c r="X62" s="231"/>
      <c r="Y62" s="230"/>
      <c r="Z62" s="228"/>
      <c r="AA62" s="228"/>
      <c r="AB62" s="228"/>
      <c r="AC62" s="227"/>
    </row>
    <row r="63" spans="1:29" ht="15.6" x14ac:dyDescent="0.3">
      <c r="A63" s="355" t="s">
        <v>256</v>
      </c>
      <c r="B63" s="357" t="s">
        <v>596</v>
      </c>
      <c r="C63" s="348" t="s">
        <v>198</v>
      </c>
      <c r="D63" s="228">
        <v>370.90476190476198</v>
      </c>
      <c r="E63" s="228">
        <v>79.696969696969703</v>
      </c>
      <c r="F63" s="228">
        <v>191.160173160173</v>
      </c>
      <c r="G63" s="228">
        <v>-1257.22943722944</v>
      </c>
      <c r="H63" s="228">
        <v>167.575757575757</v>
      </c>
      <c r="I63" s="228">
        <v>-127.69696969697</v>
      </c>
      <c r="J63" s="228">
        <v>2366.62337662338</v>
      </c>
      <c r="K63" s="228">
        <v>-3.74458874458871</v>
      </c>
      <c r="L63" s="228">
        <v>16.138528138528098</v>
      </c>
      <c r="M63" s="228">
        <v>23.452813852813801</v>
      </c>
      <c r="N63" s="227">
        <v>0.94194805194805198</v>
      </c>
      <c r="S63" s="231"/>
      <c r="T63" s="231"/>
      <c r="U63" s="231"/>
      <c r="V63" s="231"/>
      <c r="W63" s="231"/>
      <c r="X63" s="231"/>
      <c r="Y63" s="230"/>
      <c r="Z63" s="228"/>
      <c r="AA63" s="228"/>
      <c r="AB63" s="228"/>
      <c r="AC63" s="227"/>
    </row>
    <row r="64" spans="1:29" ht="15.6" x14ac:dyDescent="0.3">
      <c r="A64" s="355" t="s">
        <v>256</v>
      </c>
      <c r="B64" s="357" t="s">
        <v>596</v>
      </c>
      <c r="C64" s="348" t="s">
        <v>190</v>
      </c>
      <c r="D64" s="228">
        <v>372.76190476190499</v>
      </c>
      <c r="E64" s="228">
        <v>80.606060606060595</v>
      </c>
      <c r="F64" s="228">
        <v>192.536796536797</v>
      </c>
      <c r="G64" s="228">
        <v>-1308.3982683982699</v>
      </c>
      <c r="H64" s="228">
        <v>161.99134199134201</v>
      </c>
      <c r="I64" s="228">
        <v>-130.89177489177499</v>
      </c>
      <c r="J64" s="228">
        <v>2376.7532467532501</v>
      </c>
      <c r="K64" s="228">
        <v>-4.5108225108225097</v>
      </c>
      <c r="L64" s="228">
        <v>16.151515151515198</v>
      </c>
      <c r="M64" s="228">
        <v>23.637229437229401</v>
      </c>
      <c r="N64" s="227">
        <v>0.93324675324675399</v>
      </c>
      <c r="S64" s="231"/>
      <c r="T64" s="231"/>
      <c r="U64" s="231"/>
      <c r="V64" s="231"/>
      <c r="W64" s="231"/>
      <c r="X64" s="231"/>
      <c r="Y64" s="230"/>
      <c r="Z64" s="228"/>
      <c r="AA64" s="228"/>
      <c r="AB64" s="228"/>
      <c r="AC64" s="227"/>
    </row>
    <row r="65" spans="1:29" ht="15.6" x14ac:dyDescent="0.3">
      <c r="A65" s="6" t="s">
        <v>256</v>
      </c>
      <c r="B65" s="134" t="s">
        <v>597</v>
      </c>
      <c r="C65" s="348" t="s">
        <v>206</v>
      </c>
      <c r="D65" s="228">
        <v>374.61904761904799</v>
      </c>
      <c r="E65" s="228">
        <v>81.515151515151601</v>
      </c>
      <c r="F65" s="228">
        <v>193.91341991342</v>
      </c>
      <c r="G65" s="228">
        <v>-1359.5670995671001</v>
      </c>
      <c r="H65" s="228">
        <v>156.406926406926</v>
      </c>
      <c r="I65" s="228">
        <v>-134.08658008658</v>
      </c>
      <c r="J65" s="228">
        <v>2386.8831168831198</v>
      </c>
      <c r="K65" s="228">
        <v>-5.2770562770563103</v>
      </c>
      <c r="L65" s="228">
        <v>16.164502164502199</v>
      </c>
      <c r="M65" s="228">
        <v>23.821645021645001</v>
      </c>
      <c r="N65" s="227">
        <v>0.924545454545455</v>
      </c>
      <c r="S65" s="231"/>
      <c r="T65" s="231"/>
      <c r="U65" s="231"/>
      <c r="V65" s="231"/>
      <c r="W65" s="231"/>
      <c r="X65" s="231"/>
      <c r="Y65" s="230"/>
      <c r="Z65" s="228"/>
      <c r="AA65" s="228"/>
      <c r="AB65" s="228"/>
      <c r="AC65" s="227"/>
    </row>
    <row r="66" spans="1:29" ht="15.6" x14ac:dyDescent="0.3">
      <c r="A66" s="6" t="s">
        <v>256</v>
      </c>
      <c r="B66" s="134" t="s">
        <v>597</v>
      </c>
      <c r="C66" s="348" t="s">
        <v>198</v>
      </c>
      <c r="D66" s="228">
        <v>376.47619047619099</v>
      </c>
      <c r="E66" s="228">
        <v>82.424242424242493</v>
      </c>
      <c r="F66" s="228">
        <v>195.290043290043</v>
      </c>
      <c r="G66" s="228">
        <v>-1410.73593073593</v>
      </c>
      <c r="H66" s="228">
        <v>150.82251082251</v>
      </c>
      <c r="I66" s="228">
        <v>-137.28138528138501</v>
      </c>
      <c r="J66" s="228">
        <v>2397.0129870129899</v>
      </c>
      <c r="K66" s="228">
        <v>-6.0432900432900096</v>
      </c>
      <c r="L66" s="228">
        <v>16.1774891774892</v>
      </c>
      <c r="M66" s="228">
        <v>24.006060606060601</v>
      </c>
      <c r="N66" s="227">
        <v>0.91584415584415602</v>
      </c>
      <c r="S66" s="231"/>
      <c r="T66" s="231"/>
      <c r="U66" s="231"/>
      <c r="V66" s="231"/>
      <c r="W66" s="231"/>
      <c r="X66" s="231"/>
      <c r="Y66" s="230"/>
      <c r="Z66" s="228"/>
      <c r="AA66" s="228"/>
      <c r="AB66" s="228"/>
      <c r="AC66" s="227"/>
    </row>
    <row r="67" spans="1:29" ht="15.6" x14ac:dyDescent="0.3">
      <c r="A67" s="6" t="s">
        <v>256</v>
      </c>
      <c r="B67" s="134" t="s">
        <v>597</v>
      </c>
      <c r="C67" s="348" t="s">
        <v>190</v>
      </c>
      <c r="D67" s="228">
        <v>378.333333333334</v>
      </c>
      <c r="E67" s="228">
        <v>83.3333333333333</v>
      </c>
      <c r="F67" s="228">
        <v>196.666666666667</v>
      </c>
      <c r="G67" s="228">
        <v>-1461.9047619047601</v>
      </c>
      <c r="H67" s="228">
        <v>145.23809523809501</v>
      </c>
      <c r="I67" s="228">
        <v>-140.47619047619099</v>
      </c>
      <c r="J67" s="228">
        <v>2407.1428571428601</v>
      </c>
      <c r="K67" s="228">
        <v>-6.8095238095238102</v>
      </c>
      <c r="L67" s="228">
        <v>16.1904761904762</v>
      </c>
      <c r="M67" s="228">
        <v>24.1904761904762</v>
      </c>
      <c r="N67" s="227">
        <v>0.90714285714285703</v>
      </c>
      <c r="S67" s="231"/>
      <c r="T67" s="231"/>
      <c r="U67" s="231"/>
      <c r="V67" s="231"/>
      <c r="W67" s="231"/>
      <c r="X67" s="231"/>
      <c r="Y67" s="230"/>
      <c r="Z67" s="228"/>
      <c r="AA67" s="228"/>
      <c r="AB67" s="228"/>
      <c r="AC67" s="227"/>
    </row>
    <row r="68" spans="1:29" ht="15.6" x14ac:dyDescent="0.3">
      <c r="A68" s="6" t="s">
        <v>256</v>
      </c>
      <c r="B68" s="134" t="s">
        <v>598</v>
      </c>
      <c r="C68" s="348" t="s">
        <v>206</v>
      </c>
      <c r="D68" s="228">
        <v>380.190476190477</v>
      </c>
      <c r="E68" s="228">
        <v>84.242424242424207</v>
      </c>
      <c r="F68" s="228">
        <v>198.04329004329</v>
      </c>
      <c r="G68" s="228">
        <v>-1513.07359307359</v>
      </c>
      <c r="H68" s="228">
        <v>139.65367965367901</v>
      </c>
      <c r="I68" s="228">
        <v>-143.67099567099601</v>
      </c>
      <c r="J68" s="228">
        <v>2417.2727272727302</v>
      </c>
      <c r="K68" s="228">
        <v>-7.5757575757576099</v>
      </c>
      <c r="L68" s="228">
        <v>16.203463203463201</v>
      </c>
      <c r="M68" s="228">
        <v>24.3748917748918</v>
      </c>
      <c r="N68" s="227">
        <v>0.89844155844155904</v>
      </c>
      <c r="S68" s="231"/>
      <c r="T68" s="231"/>
      <c r="U68" s="231"/>
      <c r="V68" s="231"/>
      <c r="W68" s="231"/>
      <c r="X68" s="231"/>
      <c r="Y68" s="230"/>
      <c r="Z68" s="228"/>
      <c r="AA68" s="228"/>
      <c r="AB68" s="228"/>
      <c r="AC68" s="227"/>
    </row>
    <row r="69" spans="1:29" ht="15.6" x14ac:dyDescent="0.3">
      <c r="A69" s="6" t="s">
        <v>256</v>
      </c>
      <c r="B69" s="134" t="s">
        <v>598</v>
      </c>
      <c r="C69" s="348" t="s">
        <v>198</v>
      </c>
      <c r="D69" s="228">
        <v>382.04761904761898</v>
      </c>
      <c r="E69" s="228">
        <v>85.151515151515198</v>
      </c>
      <c r="F69" s="228">
        <v>199.419913419913</v>
      </c>
      <c r="G69" s="228">
        <v>-1564.2424242424299</v>
      </c>
      <c r="H69" s="228">
        <v>134.06926406926399</v>
      </c>
      <c r="I69" s="228">
        <v>-146.86580086580099</v>
      </c>
      <c r="J69" s="228">
        <v>2427.4025974025999</v>
      </c>
      <c r="K69" s="228">
        <v>-8.3419913419913101</v>
      </c>
      <c r="L69" s="228">
        <v>16.216450216450198</v>
      </c>
      <c r="M69" s="228">
        <v>24.5593073593074</v>
      </c>
      <c r="N69" s="227">
        <v>0.88974025974026005</v>
      </c>
      <c r="S69" s="231"/>
      <c r="T69" s="231"/>
      <c r="U69" s="231"/>
      <c r="V69" s="231"/>
      <c r="W69" s="231"/>
      <c r="X69" s="231"/>
      <c r="Y69" s="230"/>
      <c r="Z69" s="228"/>
      <c r="AA69" s="228"/>
      <c r="AB69" s="228"/>
      <c r="AC69" s="227"/>
    </row>
    <row r="70" spans="1:29" ht="15.6" x14ac:dyDescent="0.3">
      <c r="A70" s="6" t="s">
        <v>256</v>
      </c>
      <c r="B70" s="134" t="s">
        <v>598</v>
      </c>
      <c r="C70" s="348" t="s">
        <v>190</v>
      </c>
      <c r="D70" s="228">
        <v>383.90476190476198</v>
      </c>
      <c r="E70" s="228">
        <v>86.060606060606005</v>
      </c>
      <c r="F70" s="228">
        <v>200.796536796537</v>
      </c>
      <c r="G70" s="228">
        <v>-1615.4112554112601</v>
      </c>
      <c r="H70" s="228">
        <v>128.48484848484799</v>
      </c>
      <c r="I70" s="228">
        <v>-150.06060606060601</v>
      </c>
      <c r="J70" s="228">
        <v>2437.53246753247</v>
      </c>
      <c r="K70" s="228">
        <v>-9.1082251082251098</v>
      </c>
      <c r="L70" s="228">
        <v>16.229437229437199</v>
      </c>
      <c r="M70" s="228">
        <v>24.743722943722901</v>
      </c>
      <c r="N70" s="227">
        <v>0.88103896103896095</v>
      </c>
      <c r="S70" s="231"/>
      <c r="T70" s="231"/>
      <c r="U70" s="231"/>
      <c r="V70" s="231"/>
      <c r="W70" s="231"/>
      <c r="X70" s="231"/>
      <c r="Y70" s="230"/>
      <c r="Z70" s="228"/>
      <c r="AA70" s="228"/>
      <c r="AB70" s="228"/>
      <c r="AC70" s="227"/>
    </row>
    <row r="71" spans="1:29" ht="15.6" x14ac:dyDescent="0.3">
      <c r="A71" s="6" t="s">
        <v>256</v>
      </c>
      <c r="B71" s="134" t="s">
        <v>603</v>
      </c>
      <c r="C71" s="134" t="s">
        <v>206</v>
      </c>
      <c r="D71" s="228">
        <v>385.76190476190499</v>
      </c>
      <c r="E71" s="228">
        <v>86.969696969696898</v>
      </c>
      <c r="F71" s="228">
        <v>202.17316017316</v>
      </c>
      <c r="G71" s="228">
        <v>-1666.58008658009</v>
      </c>
      <c r="H71" s="228">
        <v>122.90043290043199</v>
      </c>
      <c r="I71" s="228">
        <v>-153.25541125541099</v>
      </c>
      <c r="J71" s="228">
        <v>2447.6623376623402</v>
      </c>
      <c r="K71" s="228">
        <v>-9.8744588744589095</v>
      </c>
      <c r="L71" s="228">
        <v>16.2424242424242</v>
      </c>
      <c r="M71" s="228">
        <v>24.928138528138501</v>
      </c>
      <c r="N71" s="227">
        <v>0.87233766233766297</v>
      </c>
      <c r="S71" s="231"/>
      <c r="T71" s="231"/>
      <c r="U71" s="231"/>
      <c r="V71" s="231"/>
      <c r="W71" s="231"/>
      <c r="X71" s="231"/>
      <c r="Y71" s="230"/>
      <c r="Z71" s="228"/>
      <c r="AA71" s="228"/>
      <c r="AB71" s="228"/>
      <c r="AC71" s="227"/>
    </row>
    <row r="72" spans="1:29" ht="15.6" x14ac:dyDescent="0.3">
      <c r="A72" s="6" t="s">
        <v>256</v>
      </c>
      <c r="B72" s="134" t="s">
        <v>603</v>
      </c>
      <c r="C72" s="134" t="s">
        <v>198</v>
      </c>
      <c r="D72" s="228">
        <v>387.61904761904799</v>
      </c>
      <c r="E72" s="228">
        <v>87.878787878787804</v>
      </c>
      <c r="F72" s="228">
        <v>203.549783549784</v>
      </c>
      <c r="G72" s="228">
        <v>-1717.7489177489199</v>
      </c>
      <c r="H72" s="228">
        <v>117.316017316017</v>
      </c>
      <c r="I72" s="228">
        <v>-156.450216450217</v>
      </c>
      <c r="J72" s="228">
        <v>2457.7922077922099</v>
      </c>
      <c r="K72" s="228">
        <v>-10.640692640692601</v>
      </c>
      <c r="L72" s="228">
        <v>16.2554112554113</v>
      </c>
      <c r="M72" s="228">
        <v>25.112554112554101</v>
      </c>
      <c r="N72" s="227">
        <v>0.86363636363636398</v>
      </c>
      <c r="S72" s="231"/>
      <c r="T72" s="231"/>
      <c r="U72" s="231"/>
      <c r="V72" s="231"/>
      <c r="W72" s="231"/>
      <c r="X72" s="231"/>
      <c r="Y72" s="230"/>
      <c r="Z72" s="228"/>
      <c r="AA72" s="228"/>
      <c r="AB72" s="228"/>
      <c r="AC72" s="227"/>
    </row>
    <row r="73" spans="1:29" ht="15.6" x14ac:dyDescent="0.3">
      <c r="A73" s="6" t="s">
        <v>256</v>
      </c>
      <c r="B73" s="134" t="s">
        <v>603</v>
      </c>
      <c r="C73" s="134" t="s">
        <v>190</v>
      </c>
      <c r="D73" s="228">
        <v>389.47619047619099</v>
      </c>
      <c r="E73" s="228">
        <v>88.787878787878796</v>
      </c>
      <c r="F73" s="228">
        <v>204.926406926407</v>
      </c>
      <c r="G73" s="228">
        <v>-1768.91774891775</v>
      </c>
      <c r="H73" s="228">
        <v>111.731601731601</v>
      </c>
      <c r="I73" s="228">
        <v>-159.64502164502201</v>
      </c>
      <c r="J73" s="228">
        <v>2467.92207792208</v>
      </c>
      <c r="K73" s="228">
        <v>-11.4069264069264</v>
      </c>
      <c r="L73" s="228">
        <v>16.2683982683983</v>
      </c>
      <c r="M73" s="228">
        <v>25.2969696969697</v>
      </c>
      <c r="N73" s="227">
        <v>0.85493506493506499</v>
      </c>
      <c r="S73" s="231"/>
      <c r="T73" s="231"/>
      <c r="U73" s="231"/>
      <c r="V73" s="231"/>
      <c r="W73" s="231"/>
      <c r="X73" s="231"/>
      <c r="Y73" s="230"/>
      <c r="Z73" s="228"/>
      <c r="AA73" s="228"/>
      <c r="AB73" s="228"/>
      <c r="AC73" s="227"/>
    </row>
    <row r="74" spans="1:29" ht="15.6" x14ac:dyDescent="0.3">
      <c r="A74" s="6" t="s">
        <v>256</v>
      </c>
      <c r="B74" s="134" t="s">
        <v>604</v>
      </c>
      <c r="C74" s="134" t="s">
        <v>206</v>
      </c>
      <c r="D74" s="228">
        <v>391.333333333334</v>
      </c>
      <c r="E74" s="228">
        <v>89.696969696969603</v>
      </c>
      <c r="F74" s="228">
        <v>206.30303030303</v>
      </c>
      <c r="G74" s="228">
        <v>-1820.0865800865799</v>
      </c>
      <c r="H74" s="228">
        <v>106.14718614718601</v>
      </c>
      <c r="I74" s="228">
        <v>-162.839826839827</v>
      </c>
      <c r="J74" s="228">
        <v>2478.0519480519501</v>
      </c>
      <c r="K74" s="228">
        <v>-12.1731601731602</v>
      </c>
      <c r="L74" s="228">
        <v>16.281385281385301</v>
      </c>
      <c r="M74" s="228">
        <v>25.4813852813853</v>
      </c>
      <c r="N74" s="227">
        <v>0.846233766233767</v>
      </c>
      <c r="S74" s="231"/>
      <c r="T74" s="231"/>
      <c r="U74" s="231"/>
      <c r="V74" s="231"/>
      <c r="W74" s="231"/>
      <c r="X74" s="231"/>
      <c r="Y74" s="230"/>
      <c r="Z74" s="228"/>
      <c r="AA74" s="228"/>
      <c r="AB74" s="228"/>
      <c r="AC74" s="227"/>
    </row>
    <row r="75" spans="1:29" ht="15.6" x14ac:dyDescent="0.3">
      <c r="A75" s="6" t="s">
        <v>256</v>
      </c>
      <c r="B75" s="134" t="s">
        <v>604</v>
      </c>
      <c r="C75" s="134" t="s">
        <v>198</v>
      </c>
      <c r="D75" s="228">
        <v>393.190476190477</v>
      </c>
      <c r="E75" s="228">
        <v>90.606060606060595</v>
      </c>
      <c r="F75" s="228">
        <v>207.679653679654</v>
      </c>
      <c r="G75" s="228">
        <v>-1871.2554112554101</v>
      </c>
      <c r="H75" s="228">
        <v>100.56277056277</v>
      </c>
      <c r="I75" s="228">
        <v>-166.03463203463201</v>
      </c>
      <c r="J75" s="228">
        <v>2488.1818181818198</v>
      </c>
      <c r="K75" s="228">
        <v>-12.9393939393939</v>
      </c>
      <c r="L75" s="228">
        <v>16.294372294372302</v>
      </c>
      <c r="M75" s="228">
        <v>25.6658008658009</v>
      </c>
      <c r="N75" s="227">
        <v>0.83753246753246802</v>
      </c>
      <c r="S75" s="231"/>
      <c r="T75" s="231"/>
      <c r="U75" s="231"/>
      <c r="V75" s="231"/>
      <c r="W75" s="231"/>
      <c r="X75" s="231"/>
      <c r="Y75" s="230"/>
      <c r="Z75" s="228"/>
      <c r="AA75" s="228"/>
      <c r="AB75" s="228"/>
      <c r="AC75" s="227"/>
    </row>
    <row r="76" spans="1:29" ht="15.6" x14ac:dyDescent="0.3">
      <c r="A76" s="6" t="s">
        <v>256</v>
      </c>
      <c r="B76" s="134" t="s">
        <v>604</v>
      </c>
      <c r="C76" s="134" t="s">
        <v>190</v>
      </c>
      <c r="D76" s="228">
        <v>395.04761904761898</v>
      </c>
      <c r="E76" s="228">
        <v>91.515151515151501</v>
      </c>
      <c r="F76" s="228">
        <v>209.056277056277</v>
      </c>
      <c r="G76" s="228">
        <v>-1922.42424242424</v>
      </c>
      <c r="H76" s="228">
        <v>94.978354978355298</v>
      </c>
      <c r="I76" s="228">
        <v>-169.229437229437</v>
      </c>
      <c r="J76" s="228">
        <v>2498.31168831169</v>
      </c>
      <c r="K76" s="228">
        <v>-13.7056277056277</v>
      </c>
      <c r="L76" s="228">
        <v>16.307359307359299</v>
      </c>
      <c r="M76" s="228">
        <v>25.850216450216401</v>
      </c>
      <c r="N76" s="227">
        <v>0.82883116883116903</v>
      </c>
      <c r="S76" s="231"/>
      <c r="T76" s="231"/>
      <c r="U76" s="231"/>
      <c r="V76" s="231"/>
      <c r="W76" s="231"/>
      <c r="X76" s="231"/>
      <c r="Y76" s="230"/>
      <c r="Z76" s="228"/>
      <c r="AA76" s="228"/>
      <c r="AB76" s="228"/>
      <c r="AC76" s="227"/>
    </row>
    <row r="77" spans="1:29" ht="15.6" x14ac:dyDescent="0.3">
      <c r="A77" s="6" t="s">
        <v>255</v>
      </c>
      <c r="B77" s="134" t="s">
        <v>590</v>
      </c>
      <c r="C77" s="134" t="s">
        <v>206</v>
      </c>
      <c r="D77" s="228">
        <v>396.90476190476198</v>
      </c>
      <c r="E77" s="228">
        <v>92.424242424242493</v>
      </c>
      <c r="F77" s="228">
        <v>210.4329004329</v>
      </c>
      <c r="G77" s="228">
        <v>-1973.5930735930699</v>
      </c>
      <c r="H77" s="228">
        <v>89.393939393939306</v>
      </c>
      <c r="I77" s="228">
        <v>-172.424242424243</v>
      </c>
      <c r="J77" s="228">
        <v>2508.4415584415601</v>
      </c>
      <c r="K77" s="228">
        <v>-14.4718614718615</v>
      </c>
      <c r="L77" s="228">
        <v>16.3203463203463</v>
      </c>
      <c r="M77" s="228">
        <v>26.034632034632001</v>
      </c>
      <c r="N77" s="227">
        <v>0.82012987012987004</v>
      </c>
      <c r="S77" s="231"/>
      <c r="T77" s="231"/>
      <c r="U77" s="231"/>
      <c r="V77" s="231"/>
      <c r="W77" s="231"/>
      <c r="X77" s="231"/>
      <c r="Y77" s="230"/>
      <c r="Z77" s="228"/>
      <c r="AA77" s="228"/>
      <c r="AB77" s="228"/>
      <c r="AC77" s="227"/>
    </row>
    <row r="78" spans="1:29" ht="15.6" x14ac:dyDescent="0.3">
      <c r="A78" s="6" t="s">
        <v>255</v>
      </c>
      <c r="B78" s="134" t="s">
        <v>590</v>
      </c>
      <c r="C78" s="134" t="s">
        <v>198</v>
      </c>
      <c r="D78" s="228">
        <v>398.76190476190499</v>
      </c>
      <c r="E78" s="228">
        <v>93.3333333333333</v>
      </c>
      <c r="F78" s="228">
        <v>211.80952380952399</v>
      </c>
      <c r="G78" s="228">
        <v>-2024.76190476191</v>
      </c>
      <c r="H78" s="228">
        <v>83.809523809523299</v>
      </c>
      <c r="I78" s="228">
        <v>-175.61904761904799</v>
      </c>
      <c r="J78" s="228">
        <v>2518.5714285714298</v>
      </c>
      <c r="K78" s="228">
        <v>-15.2380952380952</v>
      </c>
      <c r="L78" s="228">
        <v>16.3333333333333</v>
      </c>
      <c r="M78" s="228">
        <v>26.219047619047601</v>
      </c>
      <c r="N78" s="227">
        <v>0.81142857142857205</v>
      </c>
      <c r="S78" s="231"/>
      <c r="T78" s="231"/>
      <c r="U78" s="231"/>
      <c r="V78" s="231"/>
      <c r="W78" s="231"/>
      <c r="X78" s="231"/>
      <c r="Y78" s="230"/>
      <c r="Z78" s="228"/>
      <c r="AA78" s="228"/>
      <c r="AB78" s="228"/>
      <c r="AC78" s="227"/>
    </row>
    <row r="79" spans="1:29" ht="15.6" x14ac:dyDescent="0.3">
      <c r="A79" s="6" t="s">
        <v>255</v>
      </c>
      <c r="B79" s="134" t="s">
        <v>590</v>
      </c>
      <c r="C79" s="134" t="s">
        <v>190</v>
      </c>
      <c r="D79" s="228">
        <v>400.61904761904799</v>
      </c>
      <c r="E79" s="228">
        <v>94.242424242424207</v>
      </c>
      <c r="F79" s="228">
        <v>213.186147186147</v>
      </c>
      <c r="G79" s="228">
        <v>-2075.93073593074</v>
      </c>
      <c r="H79" s="228">
        <v>78.225108225108301</v>
      </c>
      <c r="I79" s="228">
        <v>-178.813852813853</v>
      </c>
      <c r="J79" s="228">
        <v>2528.7012987012999</v>
      </c>
      <c r="K79" s="228">
        <v>-16.004329004329001</v>
      </c>
      <c r="L79" s="228">
        <v>16.346320346320301</v>
      </c>
      <c r="M79" s="228">
        <v>26.4034632034632</v>
      </c>
      <c r="N79" s="227">
        <v>0.80272727272727296</v>
      </c>
      <c r="S79" s="231"/>
      <c r="T79" s="231"/>
      <c r="U79" s="231"/>
      <c r="V79" s="231"/>
      <c r="W79" s="231"/>
      <c r="X79" s="231"/>
      <c r="Y79" s="230"/>
      <c r="Z79" s="228"/>
      <c r="AA79" s="228"/>
      <c r="AB79" s="228"/>
      <c r="AC79" s="227"/>
    </row>
    <row r="80" spans="1:29" ht="15.6" x14ac:dyDescent="0.3">
      <c r="A80" s="6" t="s">
        <v>255</v>
      </c>
      <c r="B80" s="134" t="s">
        <v>591</v>
      </c>
      <c r="C80" s="134" t="s">
        <v>206</v>
      </c>
      <c r="D80" s="228">
        <v>402.47619047619099</v>
      </c>
      <c r="E80" s="228">
        <v>95.151515151515198</v>
      </c>
      <c r="F80" s="228">
        <v>214.56277056277</v>
      </c>
      <c r="G80" s="228">
        <v>-2127.0995670995699</v>
      </c>
      <c r="H80" s="228">
        <v>72.640692640692293</v>
      </c>
      <c r="I80" s="228">
        <v>-182.00865800865799</v>
      </c>
      <c r="J80" s="228">
        <v>2538.8311688311701</v>
      </c>
      <c r="K80" s="228">
        <v>-16.770562770562801</v>
      </c>
      <c r="L80" s="228">
        <v>16.359307359307401</v>
      </c>
      <c r="M80" s="228">
        <v>26.5878787878788</v>
      </c>
      <c r="N80" s="227">
        <v>0.79402597402597397</v>
      </c>
      <c r="S80" s="231"/>
      <c r="T80" s="231"/>
      <c r="U80" s="231"/>
      <c r="V80" s="231"/>
      <c r="W80" s="231"/>
      <c r="X80" s="231"/>
      <c r="Y80" s="230"/>
      <c r="Z80" s="228"/>
      <c r="AA80" s="228"/>
      <c r="AB80" s="228"/>
      <c r="AC80" s="227"/>
    </row>
    <row r="81" spans="1:29" ht="15.6" x14ac:dyDescent="0.3">
      <c r="A81" s="6" t="s">
        <v>255</v>
      </c>
      <c r="B81" s="134" t="s">
        <v>591</v>
      </c>
      <c r="C81" s="134" t="s">
        <v>198</v>
      </c>
      <c r="D81" s="228">
        <v>404.333333333334</v>
      </c>
      <c r="E81" s="228">
        <v>96.060606060606005</v>
      </c>
      <c r="F81" s="228">
        <v>215.93939393939399</v>
      </c>
      <c r="G81" s="228">
        <v>-2178.2683982683998</v>
      </c>
      <c r="H81" s="228">
        <v>67.056277056277295</v>
      </c>
      <c r="I81" s="228">
        <v>-185.203463203463</v>
      </c>
      <c r="J81" s="228">
        <v>2548.9610389610398</v>
      </c>
      <c r="K81" s="228">
        <v>-17.536796536796501</v>
      </c>
      <c r="L81" s="228">
        <v>16.372294372294402</v>
      </c>
      <c r="M81" s="228">
        <v>26.7722943722944</v>
      </c>
      <c r="N81" s="227">
        <v>0.78532467532467598</v>
      </c>
      <c r="S81" s="231"/>
      <c r="T81" s="231"/>
      <c r="U81" s="231"/>
      <c r="V81" s="231"/>
      <c r="W81" s="231"/>
      <c r="X81" s="231"/>
      <c r="Y81" s="230"/>
      <c r="Z81" s="228"/>
      <c r="AA81" s="228"/>
      <c r="AB81" s="228"/>
      <c r="AC81" s="227"/>
    </row>
    <row r="82" spans="1:29" ht="15.6" x14ac:dyDescent="0.3">
      <c r="A82" s="6" t="s">
        <v>255</v>
      </c>
      <c r="B82" s="134" t="s">
        <v>591</v>
      </c>
      <c r="C82" s="134" t="s">
        <v>190</v>
      </c>
      <c r="D82" s="228">
        <v>406.190476190477</v>
      </c>
      <c r="E82" s="228">
        <v>96.969696969696997</v>
      </c>
      <c r="F82" s="228">
        <v>217.316017316017</v>
      </c>
      <c r="G82" s="228">
        <v>-2229.4372294372301</v>
      </c>
      <c r="H82" s="228">
        <v>61.471861471861203</v>
      </c>
      <c r="I82" s="228">
        <v>-188.39826839826901</v>
      </c>
      <c r="J82" s="228">
        <v>2559.0909090909099</v>
      </c>
      <c r="K82" s="228">
        <v>-18.303030303030301</v>
      </c>
      <c r="L82" s="228">
        <v>16.385281385281399</v>
      </c>
      <c r="M82" s="228">
        <v>26.95670995671</v>
      </c>
      <c r="N82" s="227">
        <v>0.77662337662337699</v>
      </c>
      <c r="S82" s="231"/>
      <c r="T82" s="231"/>
      <c r="U82" s="231"/>
      <c r="V82" s="231"/>
      <c r="W82" s="231"/>
      <c r="X82" s="231"/>
      <c r="Y82" s="230"/>
      <c r="Z82" s="228"/>
      <c r="AA82" s="228"/>
      <c r="AB82" s="228"/>
      <c r="AC82" s="227"/>
    </row>
    <row r="83" spans="1:29" ht="15.6" x14ac:dyDescent="0.3">
      <c r="A83" s="6" t="s">
        <v>255</v>
      </c>
      <c r="B83" s="134" t="s">
        <v>592</v>
      </c>
      <c r="C83" s="134" t="s">
        <v>206</v>
      </c>
      <c r="D83" s="228">
        <v>408.04761904761898</v>
      </c>
      <c r="E83" s="228">
        <v>97.878787878787804</v>
      </c>
      <c r="F83" s="228">
        <v>218.69264069264099</v>
      </c>
      <c r="G83" s="228">
        <v>-2280.6060606060601</v>
      </c>
      <c r="H83" s="228">
        <v>55.887445887445303</v>
      </c>
      <c r="I83" s="228">
        <v>-191.593073593074</v>
      </c>
      <c r="J83" s="228">
        <v>2569.2207792207801</v>
      </c>
      <c r="K83" s="228">
        <v>-19.069264069264101</v>
      </c>
      <c r="L83" s="228">
        <v>16.398268398268399</v>
      </c>
      <c r="M83" s="228">
        <v>27.141125541125501</v>
      </c>
      <c r="N83" s="227">
        <v>0.76792207792207801</v>
      </c>
      <c r="S83" s="231"/>
      <c r="T83" s="231"/>
      <c r="U83" s="231"/>
      <c r="V83" s="231"/>
      <c r="W83" s="231"/>
      <c r="X83" s="231"/>
      <c r="Y83" s="230"/>
      <c r="Z83" s="228"/>
      <c r="AA83" s="228"/>
      <c r="AB83" s="228"/>
      <c r="AC83" s="227"/>
    </row>
    <row r="84" spans="1:29" ht="15.6" x14ac:dyDescent="0.3">
      <c r="A84" s="6" t="s">
        <v>255</v>
      </c>
      <c r="B84" s="134" t="s">
        <v>592</v>
      </c>
      <c r="C84" s="134" t="s">
        <v>198</v>
      </c>
      <c r="D84" s="228">
        <v>409.90476190476198</v>
      </c>
      <c r="E84" s="228">
        <v>98.787878787878796</v>
      </c>
      <c r="F84" s="228">
        <v>220.06926406926399</v>
      </c>
      <c r="G84" s="228">
        <v>-2331.77489177489</v>
      </c>
      <c r="H84" s="228">
        <v>50.303030303030297</v>
      </c>
      <c r="I84" s="228">
        <v>-194.78787878787901</v>
      </c>
      <c r="J84" s="228">
        <v>2579.3506493506502</v>
      </c>
      <c r="K84" s="228">
        <v>-19.835497835497801</v>
      </c>
      <c r="L84" s="228">
        <v>16.4112554112554</v>
      </c>
      <c r="M84" s="228">
        <v>27.3255411255411</v>
      </c>
      <c r="N84" s="227">
        <v>0.75922077922077902</v>
      </c>
      <c r="S84" s="231"/>
      <c r="T84" s="231"/>
      <c r="U84" s="231"/>
      <c r="V84" s="231"/>
      <c r="W84" s="231"/>
      <c r="X84" s="231"/>
      <c r="Y84" s="230"/>
      <c r="Z84" s="228"/>
      <c r="AA84" s="228"/>
      <c r="AB84" s="228"/>
      <c r="AC84" s="227"/>
    </row>
    <row r="85" spans="1:29" ht="15.6" x14ac:dyDescent="0.3">
      <c r="A85" s="6" t="s">
        <v>255</v>
      </c>
      <c r="B85" s="134" t="s">
        <v>592</v>
      </c>
      <c r="C85" s="134" t="s">
        <v>190</v>
      </c>
      <c r="D85" s="228">
        <v>411.76190476190499</v>
      </c>
      <c r="E85" s="228">
        <v>99.696969696969603</v>
      </c>
      <c r="F85" s="228">
        <v>221.445887445887</v>
      </c>
      <c r="G85" s="228">
        <v>-2382.9437229437199</v>
      </c>
      <c r="H85" s="228">
        <v>44.718614718614297</v>
      </c>
      <c r="I85" s="228">
        <v>-197.98268398268399</v>
      </c>
      <c r="J85" s="228">
        <v>2589.4805194805199</v>
      </c>
      <c r="K85" s="228">
        <v>-20.601731601731601</v>
      </c>
      <c r="L85" s="228">
        <v>16.424242424242401</v>
      </c>
      <c r="M85" s="228">
        <v>27.5099567099567</v>
      </c>
      <c r="N85" s="227">
        <v>0.75051948051948103</v>
      </c>
      <c r="S85" s="231"/>
      <c r="T85" s="231"/>
      <c r="U85" s="231"/>
      <c r="V85" s="231"/>
      <c r="W85" s="231"/>
      <c r="X85" s="231"/>
      <c r="Y85" s="230"/>
      <c r="Z85" s="228"/>
      <c r="AA85" s="228"/>
      <c r="AB85" s="228"/>
      <c r="AC85" s="227"/>
    </row>
    <row r="86" spans="1:29" ht="15.6" x14ac:dyDescent="0.3">
      <c r="A86" s="6" t="s">
        <v>255</v>
      </c>
      <c r="B86" s="134" t="s">
        <v>593</v>
      </c>
      <c r="C86" s="134" t="s">
        <v>206</v>
      </c>
      <c r="D86" s="228">
        <v>413.61904761904799</v>
      </c>
      <c r="E86" s="228">
        <v>100.60606060606101</v>
      </c>
      <c r="F86" s="228">
        <v>222.82251082251099</v>
      </c>
      <c r="G86" s="228">
        <v>-2434.1125541125498</v>
      </c>
      <c r="H86" s="228">
        <v>39.134199134199299</v>
      </c>
      <c r="I86" s="228">
        <v>-201.17748917748901</v>
      </c>
      <c r="J86" s="228">
        <v>2599.61038961039</v>
      </c>
      <c r="K86" s="228">
        <v>-21.3679653679654</v>
      </c>
      <c r="L86" s="228">
        <v>16.437229437229401</v>
      </c>
      <c r="M86" s="228">
        <v>27.6943722943723</v>
      </c>
      <c r="N86" s="227">
        <v>0.74181818181818204</v>
      </c>
      <c r="S86" s="231"/>
      <c r="T86" s="231"/>
      <c r="U86" s="231"/>
      <c r="V86" s="231"/>
      <c r="W86" s="231"/>
      <c r="X86" s="231"/>
      <c r="Y86" s="230"/>
      <c r="Z86" s="228"/>
      <c r="AA86" s="228"/>
      <c r="AB86" s="228"/>
      <c r="AC86" s="227"/>
    </row>
    <row r="87" spans="1:29" ht="15.6" x14ac:dyDescent="0.3">
      <c r="A87" s="6" t="s">
        <v>255</v>
      </c>
      <c r="B87" s="134" t="s">
        <v>593</v>
      </c>
      <c r="C87" s="134" t="s">
        <v>198</v>
      </c>
      <c r="D87" s="228">
        <v>415.47619047619099</v>
      </c>
      <c r="E87" s="228">
        <v>101.515151515151</v>
      </c>
      <c r="F87" s="228">
        <v>224.19913419913399</v>
      </c>
      <c r="G87" s="228">
        <v>-2485.2813852813902</v>
      </c>
      <c r="H87" s="228">
        <v>33.549783549783299</v>
      </c>
      <c r="I87" s="228">
        <v>-204.37229437229499</v>
      </c>
      <c r="J87" s="228">
        <v>2609.7402597402602</v>
      </c>
      <c r="K87" s="228">
        <v>-22.1341991341991</v>
      </c>
      <c r="L87" s="228">
        <v>16.450216450216399</v>
      </c>
      <c r="M87" s="228">
        <v>27.8787878787879</v>
      </c>
      <c r="N87" s="227">
        <v>0.73311688311688294</v>
      </c>
      <c r="S87" s="231"/>
      <c r="T87" s="231"/>
      <c r="U87" s="231"/>
      <c r="V87" s="231"/>
      <c r="W87" s="231"/>
      <c r="X87" s="231"/>
      <c r="Y87" s="230"/>
      <c r="Z87" s="228"/>
      <c r="AA87" s="228"/>
      <c r="AB87" s="228"/>
      <c r="AC87" s="227"/>
    </row>
    <row r="88" spans="1:29" ht="15.6" x14ac:dyDescent="0.3">
      <c r="A88" s="6" t="s">
        <v>255</v>
      </c>
      <c r="B88" s="134" t="s">
        <v>593</v>
      </c>
      <c r="C88" s="134" t="s">
        <v>190</v>
      </c>
      <c r="D88" s="228">
        <v>417.333333333334</v>
      </c>
      <c r="E88" s="228">
        <v>102.424242424242</v>
      </c>
      <c r="F88" s="228">
        <v>225.575757575757</v>
      </c>
      <c r="G88" s="228">
        <v>-2536.4502164502201</v>
      </c>
      <c r="H88" s="228">
        <v>27.965367965368301</v>
      </c>
      <c r="I88" s="228">
        <v>-207.5670995671</v>
      </c>
      <c r="J88" s="228">
        <v>2619.8701298701299</v>
      </c>
      <c r="K88" s="228">
        <v>-22.9004329004329</v>
      </c>
      <c r="L88" s="228">
        <v>16.463203463203499</v>
      </c>
      <c r="M88" s="228">
        <v>28.0632034632035</v>
      </c>
      <c r="N88" s="227">
        <v>0.72441558441558496</v>
      </c>
      <c r="S88" s="231"/>
      <c r="T88" s="231"/>
      <c r="U88" s="231"/>
      <c r="V88" s="231"/>
      <c r="W88" s="231"/>
      <c r="X88" s="231"/>
      <c r="Y88" s="230"/>
      <c r="Z88" s="228"/>
      <c r="AA88" s="228"/>
      <c r="AB88" s="228"/>
      <c r="AC88" s="227"/>
    </row>
    <row r="89" spans="1:29" ht="15.6" x14ac:dyDescent="0.3">
      <c r="A89" s="6" t="s">
        <v>255</v>
      </c>
      <c r="B89" s="134" t="s">
        <v>595</v>
      </c>
      <c r="C89" s="134" t="s">
        <v>206</v>
      </c>
      <c r="D89" s="228">
        <v>419.190476190477</v>
      </c>
      <c r="E89" s="228">
        <v>103.333333333333</v>
      </c>
      <c r="F89" s="228">
        <v>226.95238095238099</v>
      </c>
      <c r="G89" s="228">
        <v>-2587.61904761905</v>
      </c>
      <c r="H89" s="228">
        <v>22.380952380952301</v>
      </c>
      <c r="I89" s="228">
        <v>-210.76190476190499</v>
      </c>
      <c r="J89" s="228">
        <v>2630</v>
      </c>
      <c r="K89" s="228">
        <v>-23.6666666666666</v>
      </c>
      <c r="L89" s="228">
        <v>16.476190476190499</v>
      </c>
      <c r="M89" s="228">
        <v>28.247619047619001</v>
      </c>
      <c r="N89" s="227">
        <v>0.71571428571428597</v>
      </c>
      <c r="S89" s="231"/>
      <c r="T89" s="231"/>
      <c r="U89" s="231"/>
      <c r="V89" s="231"/>
      <c r="W89" s="231"/>
      <c r="X89" s="231"/>
      <c r="Y89" s="230"/>
      <c r="Z89" s="228"/>
      <c r="AA89" s="228"/>
      <c r="AB89" s="228"/>
      <c r="AC89" s="227"/>
    </row>
    <row r="90" spans="1:29" ht="15.6" x14ac:dyDescent="0.3">
      <c r="A90" s="6" t="s">
        <v>255</v>
      </c>
      <c r="B90" s="134" t="s">
        <v>595</v>
      </c>
      <c r="C90" s="134" t="s">
        <v>198</v>
      </c>
      <c r="D90" s="228">
        <v>421.04761904761898</v>
      </c>
      <c r="E90" s="228">
        <v>104.24242424242399</v>
      </c>
      <c r="F90" s="228">
        <v>228.32900432900399</v>
      </c>
      <c r="G90" s="228">
        <v>-2638.7878787878799</v>
      </c>
      <c r="H90" s="228">
        <v>16.796536796536301</v>
      </c>
      <c r="I90" s="228">
        <v>-213.95670995671</v>
      </c>
      <c r="J90" s="228">
        <v>2640.1298701298701</v>
      </c>
      <c r="K90" s="228">
        <v>-24.4329004329004</v>
      </c>
      <c r="L90" s="228">
        <v>16.4891774891775</v>
      </c>
      <c r="M90" s="228">
        <v>28.4320346320346</v>
      </c>
      <c r="N90" s="227">
        <v>0.70701298701298698</v>
      </c>
      <c r="S90" s="231"/>
      <c r="T90" s="231"/>
      <c r="U90" s="231"/>
      <c r="V90" s="231"/>
      <c r="W90" s="231"/>
      <c r="X90" s="231"/>
      <c r="Y90" s="230"/>
      <c r="Z90" s="228"/>
      <c r="AA90" s="228"/>
      <c r="AB90" s="228"/>
      <c r="AC90" s="227"/>
    </row>
    <row r="91" spans="1:29" ht="15.6" x14ac:dyDescent="0.3">
      <c r="A91" s="6" t="s">
        <v>255</v>
      </c>
      <c r="B91" s="134" t="s">
        <v>595</v>
      </c>
      <c r="C91" s="134" t="s">
        <v>190</v>
      </c>
      <c r="D91" s="228">
        <v>422.90476190476198</v>
      </c>
      <c r="E91" s="228">
        <v>105.151515151515</v>
      </c>
      <c r="F91" s="228">
        <v>229.70562770562799</v>
      </c>
      <c r="G91" s="228">
        <v>-2689.9567099567098</v>
      </c>
      <c r="H91" s="228">
        <v>11.2121212121212</v>
      </c>
      <c r="I91" s="228">
        <v>-217.15151515151501</v>
      </c>
      <c r="J91" s="228">
        <v>2650.2597402597398</v>
      </c>
      <c r="K91" s="228">
        <v>-25.1991341991342</v>
      </c>
      <c r="L91" s="228">
        <v>16.502164502164501</v>
      </c>
      <c r="M91" s="228">
        <v>28.6164502164502</v>
      </c>
      <c r="N91" s="227">
        <v>0.69831168831168899</v>
      </c>
      <c r="S91" s="231"/>
      <c r="T91" s="231"/>
      <c r="U91" s="231"/>
      <c r="V91" s="231"/>
      <c r="W91" s="231"/>
      <c r="X91" s="231"/>
      <c r="Y91" s="230"/>
      <c r="Z91" s="228"/>
      <c r="AA91" s="228"/>
      <c r="AB91" s="228"/>
      <c r="AC91" s="227"/>
    </row>
    <row r="92" spans="1:29" ht="15.6" x14ac:dyDescent="0.3">
      <c r="A92" s="6" t="s">
        <v>255</v>
      </c>
      <c r="B92" s="134" t="s">
        <v>596</v>
      </c>
      <c r="C92" s="348" t="s">
        <v>206</v>
      </c>
      <c r="D92" s="228">
        <v>424.76190476190499</v>
      </c>
      <c r="E92" s="228">
        <v>106.06060606060601</v>
      </c>
      <c r="F92" s="228">
        <v>231.08225108225099</v>
      </c>
      <c r="G92" s="228">
        <v>-2741.1255411255402</v>
      </c>
      <c r="H92" s="228">
        <v>5.6277056277052697</v>
      </c>
      <c r="I92" s="228">
        <v>-220.34632034632099</v>
      </c>
      <c r="J92" s="228">
        <v>2660.38961038961</v>
      </c>
      <c r="K92" s="228">
        <v>-25.965367965367999</v>
      </c>
      <c r="L92" s="228">
        <v>16.515151515151501</v>
      </c>
      <c r="M92" s="228">
        <v>28.8008658008658</v>
      </c>
      <c r="N92" s="227">
        <v>0.68961038961039001</v>
      </c>
      <c r="S92" s="231"/>
      <c r="T92" s="231"/>
      <c r="U92" s="231"/>
      <c r="V92" s="231"/>
      <c r="W92" s="231"/>
      <c r="X92" s="231"/>
      <c r="Y92" s="230"/>
      <c r="Z92" s="228"/>
      <c r="AA92" s="228"/>
      <c r="AB92" s="228"/>
      <c r="AC92" s="227"/>
    </row>
    <row r="93" spans="1:29" ht="15.6" x14ac:dyDescent="0.3">
      <c r="A93" s="6" t="s">
        <v>255</v>
      </c>
      <c r="B93" s="134" t="s">
        <v>596</v>
      </c>
      <c r="C93" s="348" t="s">
        <v>198</v>
      </c>
      <c r="D93" s="228">
        <v>426.61904761904799</v>
      </c>
      <c r="E93" s="228">
        <v>106.969696969697</v>
      </c>
      <c r="F93" s="228">
        <v>232.45887445887399</v>
      </c>
      <c r="G93" s="228">
        <v>-2792.2943722943701</v>
      </c>
      <c r="H93" s="228">
        <v>4.3290043290255702E-2</v>
      </c>
      <c r="I93" s="228">
        <v>-223.54112554112601</v>
      </c>
      <c r="J93" s="228">
        <v>2670.5194805194801</v>
      </c>
      <c r="K93" s="228">
        <v>-26.7316017316017</v>
      </c>
      <c r="L93" s="228">
        <v>16.528138528138498</v>
      </c>
      <c r="M93" s="228">
        <v>28.9852813852814</v>
      </c>
      <c r="N93" s="227">
        <v>0.68090909090909102</v>
      </c>
      <c r="S93" s="231"/>
      <c r="T93" s="231"/>
      <c r="U93" s="231"/>
      <c r="V93" s="231"/>
      <c r="W93" s="231"/>
      <c r="X93" s="231"/>
      <c r="Y93" s="230"/>
      <c r="Z93" s="228"/>
      <c r="AA93" s="228"/>
      <c r="AB93" s="228"/>
      <c r="AC93" s="227"/>
    </row>
    <row r="94" spans="1:29" ht="15.6" x14ac:dyDescent="0.3">
      <c r="A94" s="6" t="s">
        <v>255</v>
      </c>
      <c r="B94" s="134" t="s">
        <v>596</v>
      </c>
      <c r="C94" s="348" t="s">
        <v>190</v>
      </c>
      <c r="D94" s="228">
        <v>428.47619047619099</v>
      </c>
      <c r="E94" s="228">
        <v>107.878787878788</v>
      </c>
      <c r="F94" s="228">
        <v>233.83549783549799</v>
      </c>
      <c r="G94" s="228">
        <v>-2843.4632034632</v>
      </c>
      <c r="H94" s="228">
        <v>-5.5411255411257203</v>
      </c>
      <c r="I94" s="228">
        <v>-226.73593073593099</v>
      </c>
      <c r="J94" s="228">
        <v>2680.6493506493498</v>
      </c>
      <c r="K94" s="228">
        <v>-27.497835497835499</v>
      </c>
      <c r="L94" s="228">
        <v>16.541125541125499</v>
      </c>
      <c r="M94" s="228">
        <v>29.169696969697</v>
      </c>
      <c r="N94" s="227">
        <v>0.67220779220779203</v>
      </c>
      <c r="S94" s="231"/>
      <c r="T94" s="231"/>
      <c r="U94" s="231"/>
      <c r="V94" s="231"/>
      <c r="W94" s="231"/>
      <c r="X94" s="231"/>
      <c r="Y94" s="230"/>
      <c r="Z94" s="228"/>
      <c r="AA94" s="228"/>
      <c r="AB94" s="228"/>
      <c r="AC94" s="227"/>
    </row>
    <row r="95" spans="1:29" ht="15.6" x14ac:dyDescent="0.3">
      <c r="A95" s="6" t="s">
        <v>255</v>
      </c>
      <c r="B95" s="134" t="s">
        <v>598</v>
      </c>
      <c r="C95" s="348" t="s">
        <v>206</v>
      </c>
      <c r="D95" s="228">
        <v>430.333333333334</v>
      </c>
      <c r="E95" s="228">
        <v>108.787878787879</v>
      </c>
      <c r="F95" s="228">
        <v>235.21212121212099</v>
      </c>
      <c r="G95" s="228">
        <v>-2894.6320346320299</v>
      </c>
      <c r="H95" s="228">
        <v>-11.1255411255417</v>
      </c>
      <c r="I95" s="228">
        <v>-229.93073593073601</v>
      </c>
      <c r="J95" s="228">
        <v>2690.7792207792199</v>
      </c>
      <c r="K95" s="228">
        <v>-28.264069264069299</v>
      </c>
      <c r="L95" s="228">
        <v>16.554112554112599</v>
      </c>
      <c r="M95" s="228">
        <v>29.3541125541126</v>
      </c>
      <c r="N95" s="227">
        <v>0.66350649350649404</v>
      </c>
      <c r="S95" s="231"/>
      <c r="T95" s="231"/>
      <c r="U95" s="231"/>
      <c r="V95" s="231"/>
      <c r="W95" s="231"/>
      <c r="X95" s="231"/>
      <c r="Y95" s="230"/>
      <c r="Z95" s="228"/>
      <c r="AA95" s="228"/>
      <c r="AB95" s="228"/>
      <c r="AC95" s="227"/>
    </row>
    <row r="96" spans="1:29" ht="15.6" x14ac:dyDescent="0.3">
      <c r="A96" s="6" t="s">
        <v>255</v>
      </c>
      <c r="B96" s="134" t="s">
        <v>598</v>
      </c>
      <c r="C96" s="348" t="s">
        <v>198</v>
      </c>
      <c r="D96" s="228">
        <v>432.190476190477</v>
      </c>
      <c r="E96" s="228">
        <v>109.69696969697</v>
      </c>
      <c r="F96" s="228">
        <v>236.58874458874399</v>
      </c>
      <c r="G96" s="228">
        <v>-2945.8008658008698</v>
      </c>
      <c r="H96" s="228">
        <v>-16.709956709956799</v>
      </c>
      <c r="I96" s="228">
        <v>-233.12554112554099</v>
      </c>
      <c r="J96" s="228">
        <v>2700.9090909090901</v>
      </c>
      <c r="K96" s="228">
        <v>-29.030303030302999</v>
      </c>
      <c r="L96" s="228">
        <v>16.5670995670996</v>
      </c>
      <c r="M96" s="228">
        <v>29.5385281385281</v>
      </c>
      <c r="N96" s="227">
        <v>0.65480519480519495</v>
      </c>
      <c r="S96" s="231"/>
      <c r="T96" s="231"/>
      <c r="U96" s="231"/>
      <c r="V96" s="231"/>
      <c r="W96" s="231"/>
      <c r="X96" s="231"/>
      <c r="Y96" s="230"/>
      <c r="Z96" s="228"/>
      <c r="AA96" s="228"/>
      <c r="AB96" s="228"/>
      <c r="AC96" s="227"/>
    </row>
    <row r="97" spans="1:29" ht="15.6" x14ac:dyDescent="0.3">
      <c r="A97" s="6" t="s">
        <v>255</v>
      </c>
      <c r="B97" s="134" t="s">
        <v>598</v>
      </c>
      <c r="C97" s="348" t="s">
        <v>190</v>
      </c>
      <c r="D97" s="228">
        <v>434.04761904761898</v>
      </c>
      <c r="E97" s="228">
        <v>110.60606060606101</v>
      </c>
      <c r="F97" s="228">
        <v>237.96536796536799</v>
      </c>
      <c r="G97" s="228">
        <v>-2996.9696969697002</v>
      </c>
      <c r="H97" s="228">
        <v>-22.2943722943727</v>
      </c>
      <c r="I97" s="228">
        <v>-236.320346320347</v>
      </c>
      <c r="J97" s="228">
        <v>2711.0389610389602</v>
      </c>
      <c r="K97" s="228">
        <v>-29.796536796536799</v>
      </c>
      <c r="L97" s="228">
        <v>16.580086580086601</v>
      </c>
      <c r="M97" s="228">
        <v>29.7229437229437</v>
      </c>
      <c r="N97" s="227">
        <v>0.64610389610389596</v>
      </c>
      <c r="S97" s="231"/>
      <c r="T97" s="231"/>
      <c r="U97" s="231"/>
      <c r="V97" s="231"/>
      <c r="W97" s="231"/>
      <c r="X97" s="231"/>
      <c r="Y97" s="230"/>
      <c r="Z97" s="228"/>
      <c r="AA97" s="228"/>
      <c r="AB97" s="228"/>
      <c r="AC97" s="227"/>
    </row>
    <row r="98" spans="1:29" ht="15.6" x14ac:dyDescent="0.3">
      <c r="A98" s="6" t="s">
        <v>255</v>
      </c>
      <c r="B98" s="134" t="s">
        <v>600</v>
      </c>
      <c r="C98" s="348" t="s">
        <v>206</v>
      </c>
      <c r="D98" s="228">
        <v>435.90476190476198</v>
      </c>
      <c r="E98" s="228">
        <v>111.515151515151</v>
      </c>
      <c r="F98" s="228">
        <v>239.34199134199099</v>
      </c>
      <c r="G98" s="228">
        <v>-3048.1385281385301</v>
      </c>
      <c r="H98" s="228">
        <v>-27.878787878787701</v>
      </c>
      <c r="I98" s="228">
        <v>-239.51515151515201</v>
      </c>
      <c r="J98" s="228">
        <v>2721.1688311688299</v>
      </c>
      <c r="K98" s="228">
        <v>-30.562770562770599</v>
      </c>
      <c r="L98" s="228">
        <v>16.593073593073601</v>
      </c>
      <c r="M98" s="228">
        <v>29.9073593073593</v>
      </c>
      <c r="N98" s="227">
        <v>0.63740259740259797</v>
      </c>
      <c r="S98" s="231"/>
      <c r="T98" s="231"/>
      <c r="U98" s="231"/>
      <c r="V98" s="231"/>
      <c r="W98" s="231"/>
      <c r="X98" s="231"/>
      <c r="Y98" s="230"/>
      <c r="Z98" s="228"/>
      <c r="AA98" s="228"/>
      <c r="AB98" s="228"/>
      <c r="AC98" s="227"/>
    </row>
    <row r="99" spans="1:29" ht="15.6" x14ac:dyDescent="0.3">
      <c r="A99" s="6" t="s">
        <v>255</v>
      </c>
      <c r="B99" s="134" t="s">
        <v>600</v>
      </c>
      <c r="C99" s="348" t="s">
        <v>198</v>
      </c>
      <c r="D99" s="228">
        <v>437.76190476190499</v>
      </c>
      <c r="E99" s="228">
        <v>112.424242424242</v>
      </c>
      <c r="F99" s="228">
        <v>240.71861471861499</v>
      </c>
      <c r="G99" s="228">
        <v>-3099.30735930736</v>
      </c>
      <c r="H99" s="228">
        <v>-33.463203463203698</v>
      </c>
      <c r="I99" s="228">
        <v>-242.709956709957</v>
      </c>
      <c r="J99" s="228">
        <v>2731.2987012987001</v>
      </c>
      <c r="K99" s="228">
        <v>-31.329004329004299</v>
      </c>
      <c r="L99" s="228">
        <v>16.606060606060598</v>
      </c>
      <c r="M99" s="228">
        <v>30.0917748917749</v>
      </c>
      <c r="N99" s="227">
        <v>0.62870129870129898</v>
      </c>
      <c r="S99" s="231"/>
      <c r="T99" s="231"/>
      <c r="U99" s="231"/>
      <c r="V99" s="231"/>
      <c r="W99" s="231"/>
      <c r="X99" s="231"/>
      <c r="Y99" s="230"/>
      <c r="Z99" s="228"/>
      <c r="AA99" s="228"/>
      <c r="AB99" s="228"/>
      <c r="AC99" s="227"/>
    </row>
    <row r="100" spans="1:29" ht="15.6" x14ac:dyDescent="0.3">
      <c r="A100" s="6" t="s">
        <v>255</v>
      </c>
      <c r="B100" s="134" t="s">
        <v>600</v>
      </c>
      <c r="C100" s="348" t="s">
        <v>190</v>
      </c>
      <c r="D100" s="228">
        <v>439.61904761904799</v>
      </c>
      <c r="E100" s="228">
        <v>113.333333333333</v>
      </c>
      <c r="F100" s="228">
        <v>242.09523809523799</v>
      </c>
      <c r="G100" s="228">
        <v>-3150.4761904761899</v>
      </c>
      <c r="H100" s="228">
        <v>-39.047619047618802</v>
      </c>
      <c r="I100" s="228">
        <v>-245.90476190476201</v>
      </c>
      <c r="J100" s="228">
        <v>2741.4285714285702</v>
      </c>
      <c r="K100" s="228">
        <v>-32.095238095238102</v>
      </c>
      <c r="L100" s="228">
        <v>16.619047619047599</v>
      </c>
      <c r="M100" s="228">
        <v>30.2761904761905</v>
      </c>
      <c r="N100" s="227">
        <v>0.62</v>
      </c>
      <c r="S100" s="231"/>
      <c r="T100" s="231"/>
      <c r="U100" s="231"/>
      <c r="V100" s="231"/>
      <c r="W100" s="231"/>
      <c r="X100" s="231"/>
      <c r="Y100" s="230"/>
      <c r="Z100" s="228"/>
      <c r="AA100" s="228"/>
      <c r="AB100" s="228"/>
      <c r="AC100" s="227"/>
    </row>
    <row r="101" spans="1:29" ht="15.6" x14ac:dyDescent="0.3">
      <c r="A101" s="6" t="s">
        <v>255</v>
      </c>
      <c r="B101" s="134" t="s">
        <v>601</v>
      </c>
      <c r="C101" s="134" t="s">
        <v>206</v>
      </c>
      <c r="D101" s="228">
        <v>441.47619047619099</v>
      </c>
      <c r="E101" s="228">
        <v>114.24242424242399</v>
      </c>
      <c r="F101" s="228">
        <v>243.47186147186099</v>
      </c>
      <c r="G101" s="228">
        <v>-3201.6450216450198</v>
      </c>
      <c r="H101" s="228">
        <v>-44.632034632034703</v>
      </c>
      <c r="I101" s="228">
        <v>-249.099567099567</v>
      </c>
      <c r="J101" s="228">
        <v>2751.5584415584399</v>
      </c>
      <c r="K101" s="228">
        <v>-32.861471861471799</v>
      </c>
      <c r="L101" s="228">
        <v>16.6320346320346</v>
      </c>
      <c r="M101" s="228">
        <v>30.4606060606061</v>
      </c>
      <c r="N101" s="227">
        <v>0.61129870129870201</v>
      </c>
      <c r="S101" s="231"/>
      <c r="T101" s="231"/>
      <c r="U101" s="231"/>
      <c r="V101" s="231"/>
      <c r="W101" s="231"/>
      <c r="X101" s="231"/>
      <c r="Y101" s="230"/>
      <c r="Z101" s="228"/>
      <c r="AA101" s="228"/>
      <c r="AB101" s="228"/>
      <c r="AC101" s="227"/>
    </row>
    <row r="102" spans="1:29" ht="15.6" x14ac:dyDescent="0.3">
      <c r="A102" s="6" t="s">
        <v>255</v>
      </c>
      <c r="B102" s="134" t="s">
        <v>601</v>
      </c>
      <c r="C102" s="134" t="s">
        <v>198</v>
      </c>
      <c r="D102" s="228">
        <v>443.333333333334</v>
      </c>
      <c r="E102" s="228">
        <v>115.151515151515</v>
      </c>
      <c r="F102" s="228">
        <v>244.84848484848499</v>
      </c>
      <c r="G102" s="228">
        <v>-3252.8138528138502</v>
      </c>
      <c r="H102" s="228">
        <v>-50.216450216450703</v>
      </c>
      <c r="I102" s="228">
        <v>-252.29437229437301</v>
      </c>
      <c r="J102" s="228">
        <v>2761.68831168831</v>
      </c>
      <c r="K102" s="228">
        <v>-33.627705627705602</v>
      </c>
      <c r="L102" s="228">
        <v>16.6450216450216</v>
      </c>
      <c r="M102" s="228">
        <v>30.6450216450216</v>
      </c>
      <c r="N102" s="227">
        <v>0.60259740259740302</v>
      </c>
      <c r="S102" s="231"/>
      <c r="T102" s="231"/>
      <c r="U102" s="231"/>
      <c r="V102" s="231"/>
      <c r="W102" s="231"/>
      <c r="X102" s="231"/>
      <c r="Y102" s="230"/>
      <c r="Z102" s="228"/>
      <c r="AA102" s="228"/>
      <c r="AB102" s="228"/>
      <c r="AC102" s="227"/>
    </row>
    <row r="103" spans="1:29" ht="15.6" x14ac:dyDescent="0.3">
      <c r="A103" s="6" t="s">
        <v>255</v>
      </c>
      <c r="B103" s="134" t="s">
        <v>601</v>
      </c>
      <c r="C103" s="134" t="s">
        <v>190</v>
      </c>
      <c r="D103" s="228">
        <v>445.190476190477</v>
      </c>
      <c r="E103" s="228">
        <v>116.06060606060601</v>
      </c>
      <c r="F103" s="228">
        <v>246.22510822510799</v>
      </c>
      <c r="G103" s="228">
        <v>-3303.9826839826801</v>
      </c>
      <c r="H103" s="228">
        <v>-55.8008658008658</v>
      </c>
      <c r="I103" s="228">
        <v>-255.48917748917799</v>
      </c>
      <c r="J103" s="228">
        <v>2771.8181818181802</v>
      </c>
      <c r="K103" s="228">
        <v>-34.393939393939398</v>
      </c>
      <c r="L103" s="228">
        <v>16.658008658008701</v>
      </c>
      <c r="M103" s="228">
        <v>30.8294372294372</v>
      </c>
      <c r="N103" s="227">
        <v>0.59389610389610403</v>
      </c>
      <c r="S103" s="231"/>
      <c r="T103" s="231"/>
      <c r="U103" s="231"/>
      <c r="V103" s="231"/>
      <c r="W103" s="231"/>
      <c r="X103" s="231"/>
      <c r="Y103" s="230"/>
      <c r="Z103" s="228"/>
      <c r="AA103" s="228"/>
      <c r="AB103" s="228"/>
      <c r="AC103" s="227"/>
    </row>
    <row r="104" spans="1:29" ht="15.6" x14ac:dyDescent="0.3">
      <c r="A104" s="6" t="s">
        <v>255</v>
      </c>
      <c r="B104" s="134" t="s">
        <v>622</v>
      </c>
      <c r="C104" s="134" t="s">
        <v>206</v>
      </c>
      <c r="D104" s="228">
        <v>447.04761904761898</v>
      </c>
      <c r="E104" s="228">
        <v>116.969696969697</v>
      </c>
      <c r="F104" s="228">
        <v>247.60173160173099</v>
      </c>
      <c r="G104" s="228">
        <v>-3355.15151515151</v>
      </c>
      <c r="H104" s="228">
        <v>-61.3852813852818</v>
      </c>
      <c r="I104" s="228">
        <v>-258.683982683983</v>
      </c>
      <c r="J104" s="228">
        <v>2781.9480519480499</v>
      </c>
      <c r="K104" s="228">
        <v>-35.160173160173201</v>
      </c>
      <c r="L104" s="228">
        <v>16.670995670995701</v>
      </c>
      <c r="M104" s="228">
        <v>31.0138528138528</v>
      </c>
      <c r="N104" s="227">
        <v>0.58519480519480505</v>
      </c>
      <c r="S104" s="231"/>
      <c r="T104" s="231"/>
      <c r="U104" s="231"/>
      <c r="V104" s="231"/>
      <c r="W104" s="231"/>
      <c r="X104" s="231"/>
      <c r="Y104" s="230"/>
      <c r="Z104" s="228"/>
      <c r="AA104" s="228"/>
      <c r="AB104" s="228"/>
      <c r="AC104" s="227"/>
    </row>
    <row r="105" spans="1:29" ht="15.6" x14ac:dyDescent="0.3">
      <c r="A105" s="6" t="s">
        <v>255</v>
      </c>
      <c r="B105" s="134" t="s">
        <v>622</v>
      </c>
      <c r="C105" s="134" t="s">
        <v>198</v>
      </c>
      <c r="D105" s="228">
        <v>448.90476190476198</v>
      </c>
      <c r="E105" s="228">
        <v>117.878787878788</v>
      </c>
      <c r="F105" s="228">
        <v>248.97835497835499</v>
      </c>
      <c r="G105" s="228">
        <v>-3406.3203463203499</v>
      </c>
      <c r="H105" s="228">
        <v>-66.969696969696699</v>
      </c>
      <c r="I105" s="228">
        <v>-261.87878787878799</v>
      </c>
      <c r="J105" s="228">
        <v>2792.07792207792</v>
      </c>
      <c r="K105" s="228">
        <v>-35.926406926406898</v>
      </c>
      <c r="L105" s="228">
        <v>16.683982683982698</v>
      </c>
      <c r="M105" s="228">
        <v>31.1982683982684</v>
      </c>
      <c r="N105" s="227">
        <v>0.57649350649350695</v>
      </c>
      <c r="S105" s="231"/>
      <c r="T105" s="231"/>
      <c r="U105" s="231"/>
      <c r="V105" s="231"/>
      <c r="W105" s="231"/>
      <c r="X105" s="231"/>
      <c r="Y105" s="230"/>
      <c r="Z105" s="228"/>
      <c r="AA105" s="228"/>
      <c r="AB105" s="228"/>
      <c r="AC105" s="227"/>
    </row>
    <row r="106" spans="1:29" ht="15.6" x14ac:dyDescent="0.3">
      <c r="A106" s="6" t="s">
        <v>255</v>
      </c>
      <c r="B106" s="134" t="s">
        <v>622</v>
      </c>
      <c r="C106" s="134" t="s">
        <v>190</v>
      </c>
      <c r="D106" s="228">
        <v>450.76190476190499</v>
      </c>
      <c r="E106" s="228">
        <v>118.787878787879</v>
      </c>
      <c r="F106" s="228">
        <v>250.35497835497799</v>
      </c>
      <c r="G106" s="228">
        <v>-3457.4891774891798</v>
      </c>
      <c r="H106" s="228">
        <v>-72.554112554112706</v>
      </c>
      <c r="I106" s="228">
        <v>-265.07359307359297</v>
      </c>
      <c r="J106" s="228">
        <v>2802.2077922077901</v>
      </c>
      <c r="K106" s="228">
        <v>-36.692640692640701</v>
      </c>
      <c r="L106" s="228">
        <v>16.696969696969699</v>
      </c>
      <c r="M106" s="228">
        <v>31.382683982684</v>
      </c>
      <c r="N106" s="227">
        <v>0.56779220779220796</v>
      </c>
      <c r="S106" s="231"/>
      <c r="T106" s="231"/>
      <c r="U106" s="231"/>
      <c r="V106" s="231"/>
      <c r="W106" s="231"/>
      <c r="X106" s="231"/>
      <c r="Y106" s="230"/>
      <c r="Z106" s="228"/>
      <c r="AA106" s="228"/>
      <c r="AB106" s="228"/>
      <c r="AC106" s="227"/>
    </row>
    <row r="107" spans="1:29" ht="15.6" x14ac:dyDescent="0.3">
      <c r="A107" s="6" t="s">
        <v>255</v>
      </c>
      <c r="B107" s="134" t="s">
        <v>603</v>
      </c>
      <c r="C107" s="134" t="s">
        <v>206</v>
      </c>
      <c r="D107" s="228">
        <v>452.61904761904799</v>
      </c>
      <c r="E107" s="228">
        <v>119.69696969697</v>
      </c>
      <c r="F107" s="228">
        <v>251.73160173160201</v>
      </c>
      <c r="G107" s="228">
        <v>-3508.6580086580102</v>
      </c>
      <c r="H107" s="228">
        <v>-78.138528138528798</v>
      </c>
      <c r="I107" s="228">
        <v>-268.26839826839802</v>
      </c>
      <c r="J107" s="228">
        <v>2812.3376623376598</v>
      </c>
      <c r="K107" s="228">
        <v>-37.458874458874497</v>
      </c>
      <c r="L107" s="228">
        <v>16.7099567099567</v>
      </c>
      <c r="M107" s="228">
        <v>31.5670995670996</v>
      </c>
      <c r="N107" s="227">
        <v>0.55909090909090897</v>
      </c>
      <c r="S107" s="231"/>
      <c r="T107" s="231"/>
      <c r="U107" s="231"/>
      <c r="V107" s="231"/>
      <c r="W107" s="231"/>
      <c r="X107" s="231"/>
      <c r="Y107" s="230"/>
      <c r="Z107" s="228"/>
      <c r="AA107" s="228"/>
      <c r="AB107" s="228"/>
      <c r="AC107" s="227"/>
    </row>
    <row r="108" spans="1:29" ht="15.6" x14ac:dyDescent="0.3">
      <c r="A108" s="6" t="s">
        <v>255</v>
      </c>
      <c r="B108" s="134" t="s">
        <v>603</v>
      </c>
      <c r="C108" s="134" t="s">
        <v>198</v>
      </c>
      <c r="D108" s="228">
        <v>454.47619047619099</v>
      </c>
      <c r="E108" s="228">
        <v>120.60606060606101</v>
      </c>
      <c r="F108" s="228">
        <v>253.10822510822501</v>
      </c>
      <c r="G108" s="228">
        <v>-3559.8268398268401</v>
      </c>
      <c r="H108" s="228">
        <v>-83.722943722943697</v>
      </c>
      <c r="I108" s="228">
        <v>-271.46320346320402</v>
      </c>
      <c r="J108" s="228">
        <v>2822.46753246753</v>
      </c>
      <c r="K108" s="228">
        <v>-38.225108225108201</v>
      </c>
      <c r="L108" s="228">
        <v>16.7229437229437</v>
      </c>
      <c r="M108" s="228">
        <v>31.7515151515151</v>
      </c>
      <c r="N108" s="227">
        <v>0.55038961038961098</v>
      </c>
      <c r="S108" s="231"/>
      <c r="T108" s="231"/>
      <c r="U108" s="231"/>
      <c r="V108" s="231"/>
      <c r="W108" s="231"/>
      <c r="X108" s="231"/>
      <c r="Y108" s="230"/>
      <c r="Z108" s="228"/>
      <c r="AA108" s="228"/>
      <c r="AB108" s="228"/>
      <c r="AC108" s="227"/>
    </row>
    <row r="109" spans="1:29" ht="15.6" x14ac:dyDescent="0.3">
      <c r="A109" s="6" t="s">
        <v>255</v>
      </c>
      <c r="B109" s="134" t="s">
        <v>603</v>
      </c>
      <c r="C109" s="134" t="s">
        <v>190</v>
      </c>
      <c r="D109" s="228">
        <v>456.333333333334</v>
      </c>
      <c r="E109" s="228">
        <v>121.515151515151</v>
      </c>
      <c r="F109" s="228">
        <v>254.48484848484799</v>
      </c>
      <c r="G109" s="228">
        <v>-3610.99567099567</v>
      </c>
      <c r="H109" s="228">
        <v>-89.307359307359704</v>
      </c>
      <c r="I109" s="228">
        <v>-274.65800865800901</v>
      </c>
      <c r="J109" s="228">
        <v>2832.5974025974001</v>
      </c>
      <c r="K109" s="228">
        <v>-38.991341991341997</v>
      </c>
      <c r="L109" s="228">
        <v>16.735930735930701</v>
      </c>
      <c r="M109" s="228">
        <v>31.9359307359307</v>
      </c>
      <c r="N109" s="227">
        <v>0.541688311688312</v>
      </c>
      <c r="S109" s="231"/>
      <c r="T109" s="231"/>
      <c r="U109" s="231"/>
      <c r="V109" s="231"/>
      <c r="W109" s="231"/>
      <c r="X109" s="231"/>
      <c r="Y109" s="230"/>
      <c r="Z109" s="228"/>
      <c r="AA109" s="228"/>
      <c r="AB109" s="228"/>
      <c r="AC109" s="227"/>
    </row>
    <row r="110" spans="1:29" ht="15.6" x14ac:dyDescent="0.3">
      <c r="A110" s="6" t="s">
        <v>255</v>
      </c>
      <c r="B110" s="134" t="s">
        <v>604</v>
      </c>
      <c r="C110" s="134" t="s">
        <v>206</v>
      </c>
      <c r="D110" s="228">
        <v>458.190476190477</v>
      </c>
      <c r="E110" s="228">
        <v>122.424242424242</v>
      </c>
      <c r="F110" s="228">
        <v>255.86147186147201</v>
      </c>
      <c r="G110" s="228">
        <v>-3662.1645021644999</v>
      </c>
      <c r="H110" s="228">
        <v>-94.891774891774702</v>
      </c>
      <c r="I110" s="228">
        <v>-277.85281385281399</v>
      </c>
      <c r="J110" s="228">
        <v>2842.7272727272698</v>
      </c>
      <c r="K110" s="228">
        <v>-39.757575757575701</v>
      </c>
      <c r="L110" s="228">
        <v>16.748917748917702</v>
      </c>
      <c r="M110" s="228">
        <v>32.1203463203463</v>
      </c>
      <c r="N110" s="227">
        <v>0.53298701298701301</v>
      </c>
      <c r="S110" s="231"/>
      <c r="T110" s="231"/>
      <c r="U110" s="231"/>
      <c r="V110" s="231"/>
      <c r="W110" s="231"/>
      <c r="X110" s="231"/>
      <c r="Y110" s="230"/>
      <c r="Z110" s="228"/>
      <c r="AA110" s="228"/>
      <c r="AB110" s="228"/>
      <c r="AC110" s="227"/>
    </row>
    <row r="111" spans="1:29" ht="15.6" x14ac:dyDescent="0.3">
      <c r="A111" s="6" t="s">
        <v>255</v>
      </c>
      <c r="B111" s="134" t="s">
        <v>604</v>
      </c>
      <c r="C111" s="134" t="s">
        <v>198</v>
      </c>
      <c r="D111" s="228">
        <v>460.04761904761898</v>
      </c>
      <c r="E111" s="228">
        <v>123.333333333333</v>
      </c>
      <c r="F111" s="228">
        <v>257.23809523809501</v>
      </c>
      <c r="G111" s="228">
        <v>-3713.3333333333298</v>
      </c>
      <c r="H111" s="228">
        <v>-100.47619047619099</v>
      </c>
      <c r="I111" s="228">
        <v>-281.04761904761898</v>
      </c>
      <c r="J111" s="228">
        <v>2852.8571428571399</v>
      </c>
      <c r="K111" s="228">
        <v>-40.523809523809497</v>
      </c>
      <c r="L111" s="228">
        <v>16.761904761904798</v>
      </c>
      <c r="M111" s="228">
        <v>32.304761904761897</v>
      </c>
      <c r="N111" s="227">
        <v>0.52428571428571502</v>
      </c>
      <c r="S111" s="231"/>
      <c r="T111" s="231"/>
      <c r="U111" s="231"/>
      <c r="V111" s="231"/>
      <c r="W111" s="231"/>
      <c r="X111" s="231"/>
      <c r="Y111" s="230"/>
      <c r="Z111" s="228"/>
      <c r="AA111" s="228"/>
      <c r="AB111" s="228"/>
      <c r="AC111" s="227"/>
    </row>
    <row r="112" spans="1:29" ht="15.6" x14ac:dyDescent="0.3">
      <c r="A112" s="6" t="s">
        <v>255</v>
      </c>
      <c r="B112" s="134" t="s">
        <v>604</v>
      </c>
      <c r="C112" s="134" t="s">
        <v>190</v>
      </c>
      <c r="D112" s="228">
        <v>461.90476190476198</v>
      </c>
      <c r="E112" s="228">
        <v>124.24242424242399</v>
      </c>
      <c r="F112" s="228">
        <v>258.61471861471898</v>
      </c>
      <c r="G112" s="228">
        <v>-3764.5021645021602</v>
      </c>
      <c r="H112" s="228">
        <v>-106.060606060607</v>
      </c>
      <c r="I112" s="228">
        <v>-284.24242424242402</v>
      </c>
      <c r="J112" s="228">
        <v>2862.9870129870101</v>
      </c>
      <c r="K112" s="228">
        <v>-41.2900432900433</v>
      </c>
      <c r="L112" s="228">
        <v>16.774891774891799</v>
      </c>
      <c r="M112" s="228">
        <v>32.4891774891775</v>
      </c>
      <c r="N112" s="227">
        <v>0.51558441558441603</v>
      </c>
      <c r="S112" s="231"/>
      <c r="T112" s="231"/>
      <c r="U112" s="231"/>
      <c r="V112" s="231"/>
      <c r="W112" s="231"/>
      <c r="X112" s="231"/>
      <c r="Y112" s="230"/>
      <c r="Z112" s="228"/>
      <c r="AA112" s="228"/>
      <c r="AB112" s="228"/>
      <c r="AC112" s="227"/>
    </row>
    <row r="113" spans="1:29" ht="16.2" thickBot="1" x14ac:dyDescent="0.35">
      <c r="A113" s="6" t="s">
        <v>588</v>
      </c>
      <c r="B113" s="358" t="s">
        <v>604</v>
      </c>
      <c r="C113" s="359" t="s">
        <v>206</v>
      </c>
      <c r="D113" s="228">
        <v>463.76190476190499</v>
      </c>
      <c r="E113" s="228">
        <v>125.151515151515</v>
      </c>
      <c r="F113" s="228">
        <v>259.99134199134198</v>
      </c>
      <c r="G113" s="228">
        <v>-3815.6709956710001</v>
      </c>
      <c r="H113" s="228">
        <v>-111.645021645022</v>
      </c>
      <c r="I113" s="228">
        <v>-287.43722943722997</v>
      </c>
      <c r="J113" s="228">
        <v>2873.1168831168802</v>
      </c>
      <c r="K113" s="228">
        <v>-42.056277056276997</v>
      </c>
      <c r="L113" s="228">
        <v>16.7878787878788</v>
      </c>
      <c r="M113" s="228">
        <v>32.673593073593103</v>
      </c>
      <c r="N113" s="227">
        <v>0.50688311688311705</v>
      </c>
      <c r="S113" s="231"/>
      <c r="T113" s="231"/>
      <c r="U113" s="231"/>
      <c r="V113" s="231"/>
      <c r="W113" s="231"/>
      <c r="X113" s="231"/>
      <c r="Y113" s="230"/>
      <c r="Z113" s="228"/>
      <c r="AA113" s="228"/>
      <c r="AB113" s="228"/>
      <c r="AC113" s="227"/>
    </row>
    <row r="114" spans="1:29" ht="16.8" thickTop="1" thickBot="1" x14ac:dyDescent="0.35">
      <c r="A114" s="6" t="s">
        <v>588</v>
      </c>
      <c r="B114" s="358" t="s">
        <v>604</v>
      </c>
      <c r="C114" s="359" t="s">
        <v>198</v>
      </c>
      <c r="D114" s="228">
        <v>465.61904761904799</v>
      </c>
      <c r="E114" s="228">
        <v>126.06060606060601</v>
      </c>
      <c r="F114" s="228">
        <v>261.36796536796498</v>
      </c>
      <c r="G114" s="228">
        <v>-3866.83982683983</v>
      </c>
      <c r="H114" s="228">
        <v>-117.22943722943801</v>
      </c>
      <c r="I114" s="228">
        <v>-290.63203463203502</v>
      </c>
      <c r="J114" s="228">
        <v>2883.2467532467499</v>
      </c>
      <c r="K114" s="228">
        <v>-42.8225108225108</v>
      </c>
      <c r="L114" s="228">
        <v>16.8008658008658</v>
      </c>
      <c r="M114" s="228">
        <v>32.8580086580087</v>
      </c>
      <c r="N114" s="227">
        <v>0.498181818181819</v>
      </c>
      <c r="S114" s="231"/>
      <c r="T114" s="231"/>
      <c r="U114" s="231"/>
      <c r="V114" s="231"/>
      <c r="W114" s="231"/>
      <c r="X114" s="231"/>
      <c r="Y114" s="230"/>
      <c r="Z114" s="228"/>
      <c r="AA114" s="228"/>
      <c r="AB114" s="228"/>
      <c r="AC114" s="227"/>
    </row>
    <row r="115" spans="1:29" ht="16.8" thickTop="1" thickBot="1" x14ac:dyDescent="0.35">
      <c r="A115" s="6" t="s">
        <v>588</v>
      </c>
      <c r="B115" s="358" t="s">
        <v>604</v>
      </c>
      <c r="C115" s="359" t="s">
        <v>190</v>
      </c>
      <c r="D115" s="228">
        <v>467.47619047619099</v>
      </c>
      <c r="E115" s="228">
        <v>126.969696969697</v>
      </c>
      <c r="F115" s="228">
        <v>262.74458874458901</v>
      </c>
      <c r="G115" s="228">
        <v>-3918.0086580086599</v>
      </c>
      <c r="H115" s="228">
        <v>-122.813852813853</v>
      </c>
      <c r="I115" s="228">
        <v>-293.82683982684</v>
      </c>
      <c r="J115" s="228">
        <v>2893.37662337662</v>
      </c>
      <c r="K115" s="228">
        <v>-43.588744588744603</v>
      </c>
      <c r="L115" s="228">
        <v>16.813852813852801</v>
      </c>
      <c r="M115" s="228">
        <v>33.042424242424197</v>
      </c>
      <c r="N115" s="227">
        <v>0.48948051948052002</v>
      </c>
      <c r="S115" s="231"/>
      <c r="T115" s="231"/>
      <c r="U115" s="231"/>
      <c r="V115" s="231"/>
      <c r="W115" s="231"/>
      <c r="X115" s="231"/>
      <c r="Y115" s="230"/>
      <c r="Z115" s="228"/>
      <c r="AA115" s="228"/>
      <c r="AB115" s="228"/>
      <c r="AC115" s="227"/>
    </row>
    <row r="116" spans="1:29" ht="16.2" thickTop="1" x14ac:dyDescent="0.3">
      <c r="A116" s="6" t="s">
        <v>588</v>
      </c>
      <c r="B116" s="134" t="s">
        <v>597</v>
      </c>
      <c r="C116" s="244" t="s">
        <v>206</v>
      </c>
      <c r="D116" s="228">
        <v>469.333333333334</v>
      </c>
      <c r="E116" s="228">
        <v>127.878787878788</v>
      </c>
      <c r="F116" s="228">
        <v>264.12121212121201</v>
      </c>
      <c r="G116" s="228">
        <v>-3969.1774891774899</v>
      </c>
      <c r="H116" s="228">
        <v>-128.39826839826901</v>
      </c>
      <c r="I116" s="228">
        <v>-297.02164502164499</v>
      </c>
      <c r="J116" s="228">
        <v>2903.5064935064902</v>
      </c>
      <c r="K116" s="228">
        <v>-44.3549783549783</v>
      </c>
      <c r="L116" s="228">
        <v>16.826839826839802</v>
      </c>
      <c r="M116" s="228">
        <v>33.2268398268398</v>
      </c>
      <c r="N116" s="227">
        <v>0.48077922077922097</v>
      </c>
      <c r="S116" s="231"/>
      <c r="T116" s="231"/>
      <c r="U116" s="231"/>
      <c r="V116" s="231"/>
      <c r="W116" s="231"/>
      <c r="X116" s="231"/>
      <c r="Y116" s="230"/>
      <c r="Z116" s="228"/>
      <c r="AA116" s="228"/>
      <c r="AB116" s="228"/>
      <c r="AC116" s="227"/>
    </row>
    <row r="117" spans="1:29" ht="15.6" x14ac:dyDescent="0.3">
      <c r="A117" s="6" t="s">
        <v>588</v>
      </c>
      <c r="B117" s="134" t="s">
        <v>597</v>
      </c>
      <c r="C117" s="244" t="s">
        <v>198</v>
      </c>
      <c r="D117" s="228">
        <v>471.190476190477</v>
      </c>
      <c r="E117" s="228">
        <v>128.78787878787901</v>
      </c>
      <c r="F117" s="228">
        <v>265.49783549783501</v>
      </c>
      <c r="G117" s="228">
        <v>-4020.3463203463202</v>
      </c>
      <c r="H117" s="228">
        <v>-133.98268398268499</v>
      </c>
      <c r="I117" s="228">
        <v>-300.21645021645003</v>
      </c>
      <c r="J117" s="228">
        <v>2913.6363636363599</v>
      </c>
      <c r="K117" s="228">
        <v>-45.121212121212103</v>
      </c>
      <c r="L117" s="228">
        <v>16.839826839826799</v>
      </c>
      <c r="M117" s="228">
        <v>33.411255411255397</v>
      </c>
      <c r="N117" s="227">
        <v>0.47207792207792298</v>
      </c>
      <c r="S117" s="231"/>
      <c r="T117" s="231"/>
      <c r="U117" s="231"/>
      <c r="V117" s="231"/>
      <c r="W117" s="231"/>
      <c r="X117" s="231"/>
      <c r="Y117" s="230"/>
      <c r="Z117" s="228"/>
      <c r="AA117" s="228"/>
      <c r="AB117" s="228"/>
      <c r="AC117" s="227"/>
    </row>
    <row r="118" spans="1:29" ht="15.6" x14ac:dyDescent="0.3">
      <c r="A118" s="6" t="s">
        <v>588</v>
      </c>
      <c r="B118" s="134" t="s">
        <v>597</v>
      </c>
      <c r="C118" s="244" t="s">
        <v>190</v>
      </c>
      <c r="D118" s="228">
        <v>473.04761904761898</v>
      </c>
      <c r="E118" s="228">
        <v>129.69696969696901</v>
      </c>
      <c r="F118" s="228">
        <v>266.87445887445898</v>
      </c>
      <c r="G118" s="228">
        <v>-4071.5151515151501</v>
      </c>
      <c r="H118" s="228">
        <v>-139.5670995671</v>
      </c>
      <c r="I118" s="228">
        <v>-303.41125541125598</v>
      </c>
      <c r="J118" s="228">
        <v>2923.76623376624</v>
      </c>
      <c r="K118" s="228">
        <v>-45.887445887445899</v>
      </c>
      <c r="L118" s="228">
        <v>16.852813852813899</v>
      </c>
      <c r="M118" s="228">
        <v>33.595670995671</v>
      </c>
      <c r="N118" s="227">
        <v>0.463376623376623</v>
      </c>
      <c r="S118" s="231"/>
      <c r="T118" s="231"/>
      <c r="U118" s="231"/>
      <c r="V118" s="231"/>
      <c r="W118" s="231"/>
      <c r="X118" s="231"/>
      <c r="Y118" s="230"/>
      <c r="Z118" s="228"/>
      <c r="AA118" s="228"/>
      <c r="AB118" s="228"/>
      <c r="AC118" s="227"/>
    </row>
    <row r="119" spans="1:29" ht="15.6" x14ac:dyDescent="0.3">
      <c r="A119" s="6" t="s">
        <v>588</v>
      </c>
      <c r="B119" s="134" t="s">
        <v>598</v>
      </c>
      <c r="C119" s="244" t="s">
        <v>206</v>
      </c>
      <c r="D119" s="228">
        <v>474.90476190476198</v>
      </c>
      <c r="E119" s="228">
        <v>130.60606060606</v>
      </c>
      <c r="F119" s="228">
        <v>268.25108225108198</v>
      </c>
      <c r="G119" s="228">
        <v>-4122.6839826839796</v>
      </c>
      <c r="H119" s="228">
        <v>-145.15151515151601</v>
      </c>
      <c r="I119" s="228">
        <v>-306.60606060606102</v>
      </c>
      <c r="J119" s="228">
        <v>2933.8961038961102</v>
      </c>
      <c r="K119" s="228">
        <v>-46.653679653679603</v>
      </c>
      <c r="L119" s="228">
        <v>16.8658008658009</v>
      </c>
      <c r="M119" s="228">
        <v>33.780086580086603</v>
      </c>
      <c r="N119" s="227">
        <v>0.45467532467532301</v>
      </c>
      <c r="S119" s="231"/>
      <c r="T119" s="231"/>
      <c r="U119" s="231"/>
      <c r="V119" s="231"/>
      <c r="W119" s="231"/>
      <c r="X119" s="231"/>
      <c r="Y119" s="230"/>
      <c r="Z119" s="228"/>
      <c r="AA119" s="228"/>
      <c r="AB119" s="228"/>
      <c r="AC119" s="227"/>
    </row>
    <row r="120" spans="1:29" ht="15.6" x14ac:dyDescent="0.3">
      <c r="A120" s="6" t="s">
        <v>588</v>
      </c>
      <c r="B120" s="134" t="s">
        <v>598</v>
      </c>
      <c r="C120" s="244" t="s">
        <v>198</v>
      </c>
      <c r="D120" s="228">
        <v>476.76190476190499</v>
      </c>
      <c r="E120" s="228">
        <v>131.51515151515099</v>
      </c>
      <c r="F120" s="228">
        <v>269.62770562770601</v>
      </c>
      <c r="G120" s="228">
        <v>-4173.85281385281</v>
      </c>
      <c r="H120" s="228">
        <v>-150.73593073593099</v>
      </c>
      <c r="I120" s="228">
        <v>-309.80086580086601</v>
      </c>
      <c r="J120" s="228">
        <v>2944.0259740259798</v>
      </c>
      <c r="K120" s="228">
        <v>-47.419913419913399</v>
      </c>
      <c r="L120" s="228">
        <v>16.8787878787879</v>
      </c>
      <c r="M120" s="228">
        <v>33.9645021645022</v>
      </c>
      <c r="N120" s="227">
        <v>0.44597402597402303</v>
      </c>
      <c r="S120" s="231"/>
      <c r="T120" s="231"/>
      <c r="U120" s="231"/>
      <c r="V120" s="231"/>
      <c r="W120" s="231"/>
      <c r="X120" s="231"/>
      <c r="Y120" s="230"/>
      <c r="Z120" s="228"/>
      <c r="AA120" s="228"/>
      <c r="AB120" s="228"/>
      <c r="AC120" s="227"/>
    </row>
    <row r="121" spans="1:29" ht="15.6" x14ac:dyDescent="0.3">
      <c r="A121" s="6" t="s">
        <v>588</v>
      </c>
      <c r="B121" s="134" t="s">
        <v>598</v>
      </c>
      <c r="C121" s="244" t="s">
        <v>190</v>
      </c>
      <c r="D121" s="228">
        <v>478.61904761904799</v>
      </c>
      <c r="E121" s="228">
        <v>132.42424242424201</v>
      </c>
      <c r="F121" s="228">
        <v>271.00432900432901</v>
      </c>
      <c r="G121" s="228">
        <v>-4225.0216450216403</v>
      </c>
      <c r="H121" s="228">
        <v>-156.320346320347</v>
      </c>
      <c r="I121" s="228">
        <v>-312.99567099567099</v>
      </c>
      <c r="J121" s="228">
        <v>2954.15584415585</v>
      </c>
      <c r="K121" s="228">
        <v>-48.186147186147203</v>
      </c>
      <c r="L121" s="228">
        <v>16.891774891774901</v>
      </c>
      <c r="M121" s="228">
        <v>34.148917748917697</v>
      </c>
      <c r="N121" s="227">
        <v>0.43727272727272298</v>
      </c>
      <c r="S121" s="231"/>
      <c r="T121" s="231"/>
      <c r="U121" s="231"/>
      <c r="V121" s="231"/>
      <c r="W121" s="231"/>
      <c r="X121" s="231"/>
      <c r="Y121" s="230"/>
      <c r="Z121" s="228"/>
      <c r="AA121" s="228"/>
      <c r="AB121" s="228"/>
      <c r="AC121" s="227"/>
    </row>
    <row r="122" spans="1:29" ht="15.6" x14ac:dyDescent="0.3">
      <c r="A122" s="6" t="s">
        <v>588</v>
      </c>
      <c r="B122" s="134" t="s">
        <v>603</v>
      </c>
      <c r="C122" s="244" t="s">
        <v>206</v>
      </c>
      <c r="D122" s="228">
        <v>480.47619047619099</v>
      </c>
      <c r="E122" s="228">
        <v>133.333333333333</v>
      </c>
      <c r="F122" s="228">
        <v>272.38095238095201</v>
      </c>
      <c r="G122" s="228">
        <v>-4276.1904761904698</v>
      </c>
      <c r="H122" s="228">
        <v>-161.90476190476201</v>
      </c>
      <c r="I122" s="228">
        <v>-316.19047619047598</v>
      </c>
      <c r="J122" s="228">
        <v>2964.2857142857201</v>
      </c>
      <c r="K122" s="228">
        <v>-48.952380952380899</v>
      </c>
      <c r="L122" s="228">
        <v>16.904761904761902</v>
      </c>
      <c r="M122" s="228">
        <v>34.3333333333333</v>
      </c>
      <c r="N122" s="227">
        <v>0.42857142857143299</v>
      </c>
      <c r="S122" s="231"/>
      <c r="T122" s="231"/>
      <c r="U122" s="231"/>
      <c r="V122" s="231"/>
      <c r="W122" s="231"/>
      <c r="X122" s="231"/>
      <c r="Y122" s="230"/>
      <c r="Z122" s="228"/>
      <c r="AA122" s="228"/>
      <c r="AB122" s="228"/>
      <c r="AC122" s="227"/>
    </row>
    <row r="123" spans="1:29" ht="15.6" x14ac:dyDescent="0.3">
      <c r="A123" s="6" t="s">
        <v>588</v>
      </c>
      <c r="B123" s="134" t="s">
        <v>603</v>
      </c>
      <c r="C123" s="244" t="s">
        <v>198</v>
      </c>
      <c r="D123" s="228">
        <v>482.333333333334</v>
      </c>
      <c r="E123" s="228">
        <v>134.24242424242399</v>
      </c>
      <c r="F123" s="228">
        <v>273.75757575757598</v>
      </c>
      <c r="G123" s="228">
        <v>-4327.3593073593102</v>
      </c>
      <c r="H123" s="228">
        <v>-167.48917748917799</v>
      </c>
      <c r="I123" s="228">
        <v>-319.38528138528198</v>
      </c>
      <c r="J123" s="228">
        <v>2974.4155844155898</v>
      </c>
      <c r="K123" s="228">
        <v>-49.718614718614702</v>
      </c>
      <c r="L123" s="228">
        <v>16.917748917748899</v>
      </c>
      <c r="M123" s="228">
        <v>34.517748917748897</v>
      </c>
      <c r="N123" s="227">
        <v>0.419870129870133</v>
      </c>
      <c r="S123" s="231"/>
      <c r="T123" s="231"/>
      <c r="U123" s="231"/>
      <c r="V123" s="231"/>
      <c r="W123" s="231"/>
      <c r="X123" s="231"/>
      <c r="Y123" s="230"/>
      <c r="Z123" s="228"/>
      <c r="AA123" s="228"/>
      <c r="AB123" s="228"/>
      <c r="AC123" s="227"/>
    </row>
    <row r="124" spans="1:29" ht="15.6" x14ac:dyDescent="0.3">
      <c r="A124" s="6" t="s">
        <v>588</v>
      </c>
      <c r="B124" s="134" t="s">
        <v>603</v>
      </c>
      <c r="C124" s="244" t="s">
        <v>190</v>
      </c>
      <c r="D124" s="228">
        <v>484.190476190477</v>
      </c>
      <c r="E124" s="228">
        <v>135.15151515151501</v>
      </c>
      <c r="F124" s="228">
        <v>275.13419913419898</v>
      </c>
      <c r="G124" s="228">
        <v>-4378.5281385281396</v>
      </c>
      <c r="H124" s="228">
        <v>-173.073593073594</v>
      </c>
      <c r="I124" s="228">
        <v>-322.58008658008703</v>
      </c>
      <c r="J124" s="228">
        <v>2984.54545454546</v>
      </c>
      <c r="K124" s="228">
        <v>-50.484848484848499</v>
      </c>
      <c r="L124" s="228">
        <v>16.930735930735899</v>
      </c>
      <c r="M124" s="228">
        <v>34.7021645021645</v>
      </c>
      <c r="N124" s="227">
        <v>0.41116883116883302</v>
      </c>
      <c r="S124" s="231"/>
      <c r="T124" s="231"/>
      <c r="U124" s="231"/>
      <c r="V124" s="231"/>
      <c r="W124" s="231"/>
      <c r="X124" s="231"/>
      <c r="Y124" s="230"/>
      <c r="Z124" s="228"/>
      <c r="AA124" s="228"/>
      <c r="AB124" s="228"/>
      <c r="AC124" s="227"/>
    </row>
    <row r="125" spans="1:29" ht="15.6" x14ac:dyDescent="0.3">
      <c r="A125" s="6" t="s">
        <v>588</v>
      </c>
      <c r="B125" s="134" t="s">
        <v>593</v>
      </c>
      <c r="C125" s="244" t="s">
        <v>206</v>
      </c>
      <c r="D125" s="228">
        <v>486.04761904761898</v>
      </c>
      <c r="E125" s="228">
        <v>136.06060606060601</v>
      </c>
      <c r="F125" s="228">
        <v>276.51082251082198</v>
      </c>
      <c r="G125" s="228">
        <v>-4429.69696969697</v>
      </c>
      <c r="H125" s="228">
        <v>-178.65800865800901</v>
      </c>
      <c r="I125" s="228">
        <v>-325.77489177489201</v>
      </c>
      <c r="J125" s="228">
        <v>2994.6753246753301</v>
      </c>
      <c r="K125" s="228">
        <v>-51.251082251082202</v>
      </c>
      <c r="L125" s="228">
        <v>16.9437229437229</v>
      </c>
      <c r="M125" s="228">
        <v>34.886580086580103</v>
      </c>
      <c r="N125" s="227">
        <v>0.40246753246753297</v>
      </c>
      <c r="S125" s="231"/>
      <c r="T125" s="231"/>
      <c r="U125" s="231"/>
      <c r="V125" s="231"/>
      <c r="W125" s="231"/>
      <c r="X125" s="231"/>
      <c r="Y125" s="230"/>
      <c r="Z125" s="228"/>
      <c r="AA125" s="228"/>
      <c r="AB125" s="228"/>
      <c r="AC125" s="227"/>
    </row>
    <row r="126" spans="1:29" ht="15.6" x14ac:dyDescent="0.3">
      <c r="A126" s="6" t="s">
        <v>588</v>
      </c>
      <c r="B126" s="134" t="s">
        <v>593</v>
      </c>
      <c r="C126" s="244" t="s">
        <v>198</v>
      </c>
      <c r="D126" s="228">
        <v>487.90476190476198</v>
      </c>
      <c r="E126" s="228">
        <v>136.969696969697</v>
      </c>
      <c r="F126" s="228">
        <v>277.88744588744601</v>
      </c>
      <c r="G126" s="228">
        <v>-4480.8658008658003</v>
      </c>
      <c r="H126" s="228">
        <v>-184.24242424242499</v>
      </c>
      <c r="I126" s="228">
        <v>-328.969696969697</v>
      </c>
      <c r="J126" s="228">
        <v>3004.8051948051998</v>
      </c>
      <c r="K126" s="228">
        <v>-52.017316017315999</v>
      </c>
      <c r="L126" s="228">
        <v>16.95670995671</v>
      </c>
      <c r="M126" s="228">
        <v>35.0709956709957</v>
      </c>
      <c r="N126" s="227">
        <v>0.39376623376623299</v>
      </c>
      <c r="S126" s="231"/>
      <c r="T126" s="231"/>
      <c r="U126" s="231"/>
      <c r="V126" s="231"/>
      <c r="W126" s="231"/>
      <c r="X126" s="231"/>
      <c r="Y126" s="230"/>
      <c r="Z126" s="228"/>
      <c r="AA126" s="228"/>
      <c r="AB126" s="228"/>
      <c r="AC126" s="227"/>
    </row>
    <row r="127" spans="1:29" ht="15.6" x14ac:dyDescent="0.3">
      <c r="A127" s="6" t="s">
        <v>588</v>
      </c>
      <c r="B127" s="134" t="s">
        <v>593</v>
      </c>
      <c r="C127" s="244" t="s">
        <v>190</v>
      </c>
      <c r="D127" s="228">
        <v>489.76190476190499</v>
      </c>
      <c r="E127" s="228">
        <v>137.87878787878799</v>
      </c>
      <c r="F127" s="228">
        <v>279.26406926406901</v>
      </c>
      <c r="G127" s="228">
        <v>-4532.0346320346298</v>
      </c>
      <c r="H127" s="228">
        <v>-189.82683982684</v>
      </c>
      <c r="I127" s="228">
        <v>-332.16450216450198</v>
      </c>
      <c r="J127" s="228">
        <v>3014.9350649350699</v>
      </c>
      <c r="K127" s="228">
        <v>-52.783549783549802</v>
      </c>
      <c r="L127" s="228">
        <v>16.969696969697001</v>
      </c>
      <c r="M127" s="228">
        <v>35.255411255411303</v>
      </c>
      <c r="N127" s="227">
        <v>0.385064935064933</v>
      </c>
      <c r="S127" s="231"/>
      <c r="T127" s="231"/>
      <c r="U127" s="231"/>
      <c r="V127" s="231"/>
      <c r="W127" s="231"/>
      <c r="X127" s="231"/>
      <c r="Y127" s="230"/>
      <c r="Z127" s="228"/>
      <c r="AA127" s="228"/>
      <c r="AB127" s="228"/>
      <c r="AC127" s="227"/>
    </row>
    <row r="128" spans="1:29" ht="15.6" x14ac:dyDescent="0.3">
      <c r="A128" s="6" t="s">
        <v>588</v>
      </c>
      <c r="B128" s="360" t="s">
        <v>590</v>
      </c>
      <c r="C128" s="244" t="s">
        <v>206</v>
      </c>
      <c r="D128" s="228">
        <v>491.61904761904799</v>
      </c>
      <c r="E128" s="228">
        <v>138.78787878787901</v>
      </c>
      <c r="F128" s="228">
        <v>280.64069264069298</v>
      </c>
      <c r="G128" s="228">
        <v>-4583.2034632034602</v>
      </c>
      <c r="H128" s="228">
        <v>-195.41125541125601</v>
      </c>
      <c r="I128" s="228">
        <v>-335.35930735930799</v>
      </c>
      <c r="J128" s="228">
        <v>3025.0649350649401</v>
      </c>
      <c r="K128" s="228">
        <v>-53.549783549783498</v>
      </c>
      <c r="L128" s="228">
        <v>16.982683982684001</v>
      </c>
      <c r="M128" s="228">
        <v>35.4398268398268</v>
      </c>
      <c r="N128" s="227">
        <v>0.37636363636363301</v>
      </c>
      <c r="S128" s="231"/>
      <c r="T128" s="231"/>
      <c r="U128" s="231"/>
      <c r="V128" s="231"/>
      <c r="W128" s="231"/>
      <c r="X128" s="231"/>
      <c r="Y128" s="230"/>
      <c r="Z128" s="228"/>
      <c r="AA128" s="228"/>
      <c r="AB128" s="228"/>
      <c r="AC128" s="227"/>
    </row>
    <row r="129" spans="1:29" ht="15.6" x14ac:dyDescent="0.3">
      <c r="A129" s="6" t="s">
        <v>588</v>
      </c>
      <c r="B129" s="360" t="s">
        <v>590</v>
      </c>
      <c r="C129" s="244" t="s">
        <v>198</v>
      </c>
      <c r="D129" s="228">
        <v>493.47619047619099</v>
      </c>
      <c r="E129" s="228">
        <v>139.69696969696901</v>
      </c>
      <c r="F129" s="228">
        <v>282.01731601731598</v>
      </c>
      <c r="G129" s="228">
        <v>-4634.3722943722896</v>
      </c>
      <c r="H129" s="228">
        <v>-200.99567099567099</v>
      </c>
      <c r="I129" s="228">
        <v>-338.55411255411298</v>
      </c>
      <c r="J129" s="228">
        <v>3035.1948051948102</v>
      </c>
      <c r="K129" s="228">
        <v>-54.316017316017302</v>
      </c>
      <c r="L129" s="228">
        <v>16.995670995670999</v>
      </c>
      <c r="M129" s="228">
        <v>35.624242424242397</v>
      </c>
      <c r="N129" s="227">
        <v>0.36766233766233303</v>
      </c>
      <c r="S129" s="231"/>
      <c r="T129" s="231"/>
      <c r="U129" s="231"/>
      <c r="V129" s="231"/>
      <c r="W129" s="231"/>
      <c r="X129" s="231"/>
      <c r="Y129" s="230"/>
      <c r="Z129" s="228"/>
      <c r="AA129" s="228"/>
      <c r="AB129" s="228"/>
      <c r="AC129" s="227"/>
    </row>
    <row r="130" spans="1:29" ht="15.6" x14ac:dyDescent="0.3">
      <c r="A130" s="6" t="s">
        <v>588</v>
      </c>
      <c r="B130" s="360" t="s">
        <v>590</v>
      </c>
      <c r="C130" s="244" t="s">
        <v>190</v>
      </c>
      <c r="D130" s="228">
        <v>495.333333333334</v>
      </c>
      <c r="E130" s="228">
        <v>140.60606060606</v>
      </c>
      <c r="F130" s="228">
        <v>283.39393939393898</v>
      </c>
      <c r="G130" s="228">
        <v>-4685.54112554112</v>
      </c>
      <c r="H130" s="228">
        <v>-206.580086580087</v>
      </c>
      <c r="I130" s="228">
        <v>-341.74891774891802</v>
      </c>
      <c r="J130" s="228">
        <v>3045.3246753246799</v>
      </c>
      <c r="K130" s="228">
        <v>-55.082251082251098</v>
      </c>
      <c r="L130" s="228">
        <v>17.008658008657999</v>
      </c>
      <c r="M130" s="228">
        <v>35.808658008658</v>
      </c>
      <c r="N130" s="227">
        <v>0.35896103896104298</v>
      </c>
      <c r="S130" s="231"/>
      <c r="T130" s="231"/>
      <c r="U130" s="231"/>
      <c r="V130" s="231"/>
      <c r="W130" s="231"/>
      <c r="X130" s="231"/>
      <c r="Y130" s="230"/>
      <c r="Z130" s="228"/>
      <c r="AA130" s="228"/>
      <c r="AB130" s="228"/>
      <c r="AC130" s="227"/>
    </row>
    <row r="131" spans="1:29" ht="15.6" x14ac:dyDescent="0.3">
      <c r="A131" s="6" t="s">
        <v>588</v>
      </c>
      <c r="B131" s="134" t="s">
        <v>601</v>
      </c>
      <c r="C131" s="244" t="s">
        <v>206</v>
      </c>
      <c r="D131" s="228">
        <v>497.190476190477</v>
      </c>
      <c r="E131" s="228">
        <v>141.51515151515099</v>
      </c>
      <c r="F131" s="228">
        <v>284.770562770563</v>
      </c>
      <c r="G131" s="228">
        <v>-4736.7099567099604</v>
      </c>
      <c r="H131" s="228">
        <v>-212.16450216450301</v>
      </c>
      <c r="I131" s="228">
        <v>-344.943722943723</v>
      </c>
      <c r="J131" s="228">
        <v>3055.45454545455</v>
      </c>
      <c r="K131" s="228">
        <v>-55.848484848484802</v>
      </c>
      <c r="L131" s="228">
        <v>17.021645021645</v>
      </c>
      <c r="M131" s="228">
        <v>35.993073593073603</v>
      </c>
      <c r="N131" s="227">
        <v>0.35025974025974299</v>
      </c>
      <c r="S131" s="231"/>
      <c r="T131" s="231"/>
      <c r="U131" s="231"/>
      <c r="V131" s="231"/>
      <c r="W131" s="231"/>
      <c r="X131" s="231"/>
      <c r="Y131" s="230"/>
      <c r="Z131" s="228"/>
      <c r="AA131" s="228"/>
      <c r="AB131" s="228"/>
      <c r="AC131" s="227"/>
    </row>
    <row r="132" spans="1:29" ht="15.6" x14ac:dyDescent="0.3">
      <c r="A132" s="6" t="s">
        <v>588</v>
      </c>
      <c r="B132" s="134" t="s">
        <v>601</v>
      </c>
      <c r="C132" s="244" t="s">
        <v>198</v>
      </c>
      <c r="D132" s="228">
        <v>499.04761904761898</v>
      </c>
      <c r="E132" s="228">
        <v>142.42424242424201</v>
      </c>
      <c r="F132" s="228">
        <v>286.14718614718601</v>
      </c>
      <c r="G132" s="228">
        <v>-4787.8787878787898</v>
      </c>
      <c r="H132" s="228">
        <v>-217.74891774891799</v>
      </c>
      <c r="I132" s="228">
        <v>-348.13852813852799</v>
      </c>
      <c r="J132" s="228">
        <v>3065.5844155844202</v>
      </c>
      <c r="K132" s="228">
        <v>-56.614718614718598</v>
      </c>
      <c r="L132" s="228">
        <v>17.034632034632001</v>
      </c>
      <c r="M132" s="228">
        <v>36.1774891774892</v>
      </c>
      <c r="N132" s="227">
        <v>0.341558441558443</v>
      </c>
      <c r="S132" s="231"/>
      <c r="T132" s="231"/>
      <c r="U132" s="231"/>
      <c r="V132" s="231"/>
      <c r="W132" s="231"/>
      <c r="X132" s="231"/>
      <c r="Y132" s="230"/>
      <c r="Z132" s="228"/>
      <c r="AA132" s="228"/>
      <c r="AB132" s="228"/>
      <c r="AC132" s="227"/>
    </row>
    <row r="133" spans="1:29" ht="15.6" x14ac:dyDescent="0.3">
      <c r="A133" s="6" t="s">
        <v>588</v>
      </c>
      <c r="B133" s="134" t="s">
        <v>601</v>
      </c>
      <c r="C133" s="244" t="s">
        <v>190</v>
      </c>
      <c r="D133" s="228">
        <v>500.90476190476198</v>
      </c>
      <c r="E133" s="228">
        <v>143.333333333333</v>
      </c>
      <c r="F133" s="228">
        <v>287.52380952380901</v>
      </c>
      <c r="G133" s="228">
        <v>-4839.0476190476202</v>
      </c>
      <c r="H133" s="228">
        <v>-223.333333333334</v>
      </c>
      <c r="I133" s="228">
        <v>-351.333333333334</v>
      </c>
      <c r="J133" s="228">
        <v>3075.7142857142899</v>
      </c>
      <c r="K133" s="228">
        <v>-57.380952380952003</v>
      </c>
      <c r="L133" s="228">
        <v>17.047619047619001</v>
      </c>
      <c r="M133" s="228">
        <v>36.361904761904803</v>
      </c>
      <c r="N133" s="227">
        <v>0.33285714285714302</v>
      </c>
      <c r="S133" s="231"/>
      <c r="T133" s="231"/>
      <c r="U133" s="231"/>
      <c r="V133" s="231"/>
      <c r="W133" s="231"/>
      <c r="X133" s="231"/>
      <c r="Y133" s="230"/>
      <c r="Z133" s="228"/>
      <c r="AA133" s="228"/>
      <c r="AB133" s="228"/>
      <c r="AC133" s="227"/>
    </row>
    <row r="134" spans="1:29" ht="15.6" x14ac:dyDescent="0.3">
      <c r="A134" s="6" t="s">
        <v>588</v>
      </c>
      <c r="B134" s="134" t="s">
        <v>592</v>
      </c>
      <c r="C134" s="244" t="s">
        <v>206</v>
      </c>
      <c r="D134" s="228">
        <v>502.76190476190499</v>
      </c>
      <c r="E134" s="228">
        <v>144.24242424242399</v>
      </c>
      <c r="F134" s="228">
        <v>288.90043290043297</v>
      </c>
      <c r="G134" s="228">
        <v>-4890.2164502164496</v>
      </c>
      <c r="H134" s="228">
        <v>-228.91774891774901</v>
      </c>
      <c r="I134" s="228">
        <v>-354.52813852813898</v>
      </c>
      <c r="J134" s="228">
        <v>3085.84415584416</v>
      </c>
      <c r="K134" s="228">
        <v>-58.147186147185998</v>
      </c>
      <c r="L134" s="228">
        <v>17.060606060606101</v>
      </c>
      <c r="M134" s="228">
        <v>36.5463203463203</v>
      </c>
      <c r="N134" s="227">
        <v>0.32415584415584298</v>
      </c>
      <c r="S134" s="231"/>
      <c r="T134" s="231"/>
      <c r="U134" s="231"/>
      <c r="V134" s="231"/>
      <c r="W134" s="231"/>
      <c r="X134" s="231"/>
      <c r="Y134" s="230"/>
      <c r="Z134" s="228"/>
      <c r="AA134" s="228"/>
      <c r="AB134" s="228"/>
      <c r="AC134" s="227"/>
    </row>
    <row r="135" spans="1:29" ht="15.6" x14ac:dyDescent="0.3">
      <c r="A135" s="6" t="s">
        <v>588</v>
      </c>
      <c r="B135" s="134" t="s">
        <v>592</v>
      </c>
      <c r="C135" s="244" t="s">
        <v>198</v>
      </c>
      <c r="D135" s="228">
        <v>504.61904761904799</v>
      </c>
      <c r="E135" s="228">
        <v>145.15151515151501</v>
      </c>
      <c r="F135" s="228">
        <v>290.27705627705598</v>
      </c>
      <c r="G135" s="228">
        <v>-4941.38528138528</v>
      </c>
      <c r="H135" s="228">
        <v>-234.50216450216499</v>
      </c>
      <c r="I135" s="228">
        <v>-357.72294372294402</v>
      </c>
      <c r="J135" s="228">
        <v>3095.9740259740302</v>
      </c>
      <c r="K135" s="228">
        <v>-58.91341991342</v>
      </c>
      <c r="L135" s="228">
        <v>17.073593073593099</v>
      </c>
      <c r="M135" s="228">
        <v>36.730735930735896</v>
      </c>
      <c r="N135" s="227">
        <v>0.31545454545454299</v>
      </c>
      <c r="S135" s="231"/>
      <c r="T135" s="231"/>
      <c r="U135" s="231"/>
      <c r="V135" s="231"/>
      <c r="W135" s="231"/>
      <c r="X135" s="231"/>
      <c r="Y135" s="230"/>
      <c r="Z135" s="228"/>
      <c r="AA135" s="228"/>
      <c r="AB135" s="228"/>
      <c r="AC135" s="227"/>
    </row>
    <row r="136" spans="1:29" ht="15.6" x14ac:dyDescent="0.3">
      <c r="A136" s="6" t="s">
        <v>588</v>
      </c>
      <c r="B136" s="134" t="s">
        <v>592</v>
      </c>
      <c r="C136" s="244" t="s">
        <v>190</v>
      </c>
      <c r="D136" s="228">
        <v>506.47619047619099</v>
      </c>
      <c r="E136" s="228">
        <v>146.06060606060601</v>
      </c>
      <c r="F136" s="228">
        <v>291.65367965368</v>
      </c>
      <c r="G136" s="228">
        <v>-4992.5541125541104</v>
      </c>
      <c r="H136" s="228">
        <v>-240.08658008658099</v>
      </c>
      <c r="I136" s="228">
        <v>-360.91774891774901</v>
      </c>
      <c r="J136" s="228">
        <v>3106.1038961038998</v>
      </c>
      <c r="K136" s="228">
        <v>-59.679653679654002</v>
      </c>
      <c r="L136" s="228">
        <v>17.086580086580099</v>
      </c>
      <c r="M136" s="228">
        <v>36.9151515151515</v>
      </c>
      <c r="N136" s="227">
        <v>0.306753246753243</v>
      </c>
      <c r="S136" s="231"/>
      <c r="T136" s="231"/>
      <c r="U136" s="231"/>
      <c r="V136" s="231"/>
      <c r="W136" s="231"/>
      <c r="X136" s="231"/>
      <c r="Y136" s="230"/>
      <c r="Z136" s="228"/>
      <c r="AA136" s="228"/>
      <c r="AB136" s="228"/>
      <c r="AC136" s="227"/>
    </row>
    <row r="137" spans="1:29" ht="15.6" x14ac:dyDescent="0.3">
      <c r="A137" s="6" t="s">
        <v>588</v>
      </c>
      <c r="B137" s="134" t="s">
        <v>591</v>
      </c>
      <c r="C137" s="244" t="s">
        <v>206</v>
      </c>
      <c r="D137" s="228">
        <v>508.333333333334</v>
      </c>
      <c r="E137" s="228">
        <v>146.969696969697</v>
      </c>
      <c r="F137" s="228">
        <v>293.030303030303</v>
      </c>
      <c r="G137" s="228">
        <v>-5043.7229437229398</v>
      </c>
      <c r="H137" s="228">
        <v>-245.67099567099601</v>
      </c>
      <c r="I137" s="228">
        <v>-364.11255411255399</v>
      </c>
      <c r="J137" s="228">
        <v>3116.23376623377</v>
      </c>
      <c r="K137" s="228">
        <v>-60.445887445887003</v>
      </c>
      <c r="L137" s="228">
        <v>17.0995670995671</v>
      </c>
      <c r="M137" s="228">
        <v>37.099567099567103</v>
      </c>
      <c r="N137" s="227">
        <v>0.29805194805195301</v>
      </c>
      <c r="S137" s="231"/>
      <c r="T137" s="231"/>
      <c r="U137" s="231"/>
      <c r="V137" s="231"/>
      <c r="W137" s="231"/>
      <c r="X137" s="231"/>
      <c r="Y137" s="230"/>
      <c r="Z137" s="228"/>
      <c r="AA137" s="228"/>
      <c r="AB137" s="228"/>
      <c r="AC137" s="227"/>
    </row>
    <row r="138" spans="1:29" ht="15.6" x14ac:dyDescent="0.3">
      <c r="A138" s="6" t="s">
        <v>588</v>
      </c>
      <c r="B138" s="134" t="s">
        <v>591</v>
      </c>
      <c r="C138" s="244" t="s">
        <v>198</v>
      </c>
      <c r="D138" s="228">
        <v>510.190476190477</v>
      </c>
      <c r="E138" s="228">
        <v>147.87878787878799</v>
      </c>
      <c r="F138" s="228">
        <v>294.406926406926</v>
      </c>
      <c r="G138" s="228">
        <v>-5094.8917748917702</v>
      </c>
      <c r="H138" s="228">
        <v>-251.25541125541201</v>
      </c>
      <c r="I138" s="228">
        <v>-367.30735930736</v>
      </c>
      <c r="J138" s="228">
        <v>3126.3636363636401</v>
      </c>
      <c r="K138" s="228">
        <v>-61.212121212120998</v>
      </c>
      <c r="L138" s="228">
        <v>17.112554112554101</v>
      </c>
      <c r="M138" s="228">
        <v>37.2839826839827</v>
      </c>
      <c r="N138" s="227">
        <v>0.28935064935065302</v>
      </c>
      <c r="S138" s="231"/>
      <c r="T138" s="231"/>
      <c r="U138" s="231"/>
      <c r="V138" s="231"/>
      <c r="W138" s="231"/>
      <c r="X138" s="231"/>
      <c r="Y138" s="230"/>
      <c r="Z138" s="228"/>
      <c r="AA138" s="228"/>
      <c r="AB138" s="228"/>
      <c r="AC138" s="227"/>
    </row>
    <row r="139" spans="1:29" ht="15.6" x14ac:dyDescent="0.3">
      <c r="A139" s="6" t="s">
        <v>588</v>
      </c>
      <c r="B139" s="134" t="s">
        <v>591</v>
      </c>
      <c r="C139" s="244" t="s">
        <v>190</v>
      </c>
      <c r="D139" s="228">
        <v>512.04761904761904</v>
      </c>
      <c r="E139" s="228">
        <v>148.78787878787799</v>
      </c>
      <c r="F139" s="228">
        <v>295.78354978354997</v>
      </c>
      <c r="G139" s="228">
        <v>-5146.0606060605996</v>
      </c>
      <c r="H139" s="228">
        <v>-256.83982683982703</v>
      </c>
      <c r="I139" s="228">
        <v>-370.50216450216499</v>
      </c>
      <c r="J139" s="228">
        <v>3136.4935064935098</v>
      </c>
      <c r="K139" s="228">
        <v>-61.978354978355</v>
      </c>
      <c r="L139" s="228">
        <v>17.125541125541101</v>
      </c>
      <c r="M139" s="228">
        <v>37.468398268398303</v>
      </c>
      <c r="N139" s="227">
        <v>0.28064935064935298</v>
      </c>
      <c r="S139" s="231"/>
      <c r="T139" s="231"/>
      <c r="U139" s="231"/>
      <c r="V139" s="231"/>
      <c r="W139" s="231"/>
      <c r="X139" s="231"/>
      <c r="Y139" s="230"/>
      <c r="Z139" s="228"/>
      <c r="AA139" s="228"/>
      <c r="AB139" s="228"/>
      <c r="AC139" s="227"/>
    </row>
  </sheetData>
  <mergeCells count="7">
    <mergeCell ref="A1:J1"/>
    <mergeCell ref="A2:J2"/>
    <mergeCell ref="O1:Y1"/>
    <mergeCell ref="AD1:AF1"/>
    <mergeCell ref="AG1:AI1"/>
    <mergeCell ref="K1:N1"/>
    <mergeCell ref="Z1:AC1"/>
  </mergeCells>
  <phoneticPr fontId="10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AD982-F398-4031-9DB2-9820B2A1BFF8}">
  <dimension ref="A1:AC142"/>
  <sheetViews>
    <sheetView topLeftCell="E1" zoomScale="62" zoomScaleNormal="100" workbookViewId="0">
      <selection activeCell="V142" sqref="T5:V142"/>
    </sheetView>
  </sheetViews>
  <sheetFormatPr baseColWidth="10" defaultColWidth="11.44140625" defaultRowHeight="14.4" x14ac:dyDescent="0.3"/>
  <cols>
    <col min="1" max="2" width="27.109375" style="90" customWidth="1"/>
    <col min="3" max="3" width="16.44140625" style="134" customWidth="1"/>
    <col min="4" max="4" width="13.44140625" style="134" customWidth="1"/>
    <col min="5" max="5" width="18.109375" style="134" customWidth="1"/>
    <col min="6" max="6" width="14.6640625" style="242" customWidth="1"/>
    <col min="7" max="7" width="11.5546875" style="85" bestFit="1" customWidth="1"/>
    <col min="8" max="8" width="11.44140625" style="134"/>
    <col min="9" max="9" width="22" style="134" customWidth="1"/>
    <col min="10" max="11" width="11.44140625" style="134"/>
    <col min="12" max="12" width="11.5546875" style="134" bestFit="1" customWidth="1"/>
    <col min="13" max="13" width="15.88671875" style="134" customWidth="1"/>
    <col min="14" max="14" width="11.5546875" style="134" bestFit="1" customWidth="1"/>
    <col min="15" max="15" width="19.5546875" style="134" customWidth="1"/>
    <col min="16" max="16" width="12.6640625" style="134" bestFit="1" customWidth="1"/>
    <col min="17" max="18" width="11.5546875" style="134" bestFit="1" customWidth="1"/>
    <col min="19" max="19" width="11.44140625" style="8"/>
    <col min="20" max="20" width="11.44140625" style="6"/>
    <col min="21" max="21" width="18.6640625" style="134" bestFit="1" customWidth="1"/>
    <col min="22" max="22" width="11.44140625" style="134"/>
    <col min="23" max="28" width="11.5546875" style="241" bestFit="1" customWidth="1"/>
    <col min="29" max="29" width="11.5546875" style="240" bestFit="1" customWidth="1"/>
    <col min="30" max="16384" width="11.44140625" style="134"/>
  </cols>
  <sheetData>
    <row r="1" spans="1:29" s="268" customFormat="1" ht="21" x14ac:dyDescent="0.4">
      <c r="A1" s="269" t="s">
        <v>492</v>
      </c>
      <c r="B1" s="269" t="s">
        <v>491</v>
      </c>
      <c r="C1" s="426" t="s">
        <v>490</v>
      </c>
      <c r="D1" s="427"/>
      <c r="E1" s="430"/>
      <c r="F1" s="431" t="s">
        <v>489</v>
      </c>
      <c r="G1" s="432"/>
      <c r="H1" s="431" t="s">
        <v>488</v>
      </c>
      <c r="I1" s="433"/>
      <c r="J1" s="433"/>
      <c r="K1" s="433"/>
      <c r="L1" s="433"/>
      <c r="M1" s="433"/>
      <c r="N1" s="433"/>
      <c r="O1" s="433"/>
      <c r="P1" s="433"/>
      <c r="Q1" s="433"/>
      <c r="R1" s="433"/>
      <c r="S1" s="432"/>
      <c r="T1" s="426" t="s">
        <v>487</v>
      </c>
      <c r="U1" s="427"/>
      <c r="V1" s="427"/>
      <c r="W1" s="427"/>
      <c r="X1" s="427"/>
      <c r="Y1" s="427"/>
      <c r="Z1" s="427"/>
      <c r="AA1" s="427"/>
      <c r="AB1" s="427"/>
      <c r="AC1" s="430"/>
    </row>
    <row r="2" spans="1:29" ht="31.8" thickBot="1" x14ac:dyDescent="0.35">
      <c r="A2" s="112" t="s">
        <v>88</v>
      </c>
      <c r="B2" s="111" t="s">
        <v>89</v>
      </c>
      <c r="C2" s="163" t="s">
        <v>90</v>
      </c>
      <c r="D2" s="267" t="s">
        <v>91</v>
      </c>
      <c r="E2" s="161" t="s">
        <v>92</v>
      </c>
      <c r="F2" s="266"/>
      <c r="G2" s="265"/>
      <c r="H2" s="343"/>
      <c r="I2" s="343"/>
      <c r="J2" s="343"/>
      <c r="K2" s="343"/>
      <c r="L2" s="343"/>
      <c r="M2" s="343"/>
      <c r="N2" s="343"/>
      <c r="O2" s="343"/>
      <c r="P2" s="343"/>
      <c r="Q2" s="343"/>
      <c r="R2" s="343"/>
      <c r="S2" s="344"/>
      <c r="T2" s="264"/>
      <c r="U2" s="263"/>
      <c r="V2" s="263"/>
      <c r="W2" s="262"/>
      <c r="X2" s="262"/>
      <c r="Y2" s="262"/>
      <c r="Z2" s="262"/>
      <c r="AA2" s="262"/>
      <c r="AB2" s="262"/>
      <c r="AC2" s="261"/>
    </row>
    <row r="3" spans="1:29" ht="47.4" thickBot="1" x14ac:dyDescent="0.35">
      <c r="A3" s="260" t="s">
        <v>267</v>
      </c>
      <c r="B3" s="259" t="s">
        <v>486</v>
      </c>
      <c r="C3" s="253" t="s">
        <v>44</v>
      </c>
      <c r="D3" s="258" t="s">
        <v>485</v>
      </c>
      <c r="E3" s="258" t="s">
        <v>484</v>
      </c>
      <c r="F3" s="257" t="s">
        <v>6</v>
      </c>
      <c r="G3" s="256" t="s">
        <v>483</v>
      </c>
      <c r="H3" s="253" t="s">
        <v>482</v>
      </c>
      <c r="I3" s="253" t="s">
        <v>267</v>
      </c>
      <c r="J3" s="253" t="s">
        <v>481</v>
      </c>
      <c r="K3" s="254" t="s">
        <v>480</v>
      </c>
      <c r="L3" s="254" t="s">
        <v>479</v>
      </c>
      <c r="M3" s="254" t="s">
        <v>478</v>
      </c>
      <c r="N3" s="254" t="s">
        <v>477</v>
      </c>
      <c r="O3" s="254" t="s">
        <v>476</v>
      </c>
      <c r="P3" s="253" t="s">
        <v>475</v>
      </c>
      <c r="Q3" s="253" t="s">
        <v>474</v>
      </c>
      <c r="R3" s="253" t="s">
        <v>473</v>
      </c>
      <c r="S3" s="252" t="s">
        <v>472</v>
      </c>
      <c r="T3" s="255" t="s">
        <v>258</v>
      </c>
      <c r="U3" s="254" t="s">
        <v>19</v>
      </c>
      <c r="V3" s="254" t="s">
        <v>443</v>
      </c>
      <c r="W3" s="254" t="s">
        <v>471</v>
      </c>
      <c r="X3" s="254" t="s">
        <v>470</v>
      </c>
      <c r="Y3" s="254" t="s">
        <v>469</v>
      </c>
      <c r="Z3" s="254" t="s">
        <v>468</v>
      </c>
      <c r="AA3" s="253" t="s">
        <v>467</v>
      </c>
      <c r="AB3" s="253" t="s">
        <v>466</v>
      </c>
      <c r="AC3" s="252" t="s">
        <v>465</v>
      </c>
    </row>
    <row r="4" spans="1:29" s="243" customFormat="1" ht="47.4" thickBot="1" x14ac:dyDescent="0.35">
      <c r="A4" s="134" t="s">
        <v>167</v>
      </c>
      <c r="B4" s="251">
        <v>0.02</v>
      </c>
      <c r="C4" s="248" t="s">
        <v>258</v>
      </c>
      <c r="D4" s="248" t="s">
        <v>6</v>
      </c>
      <c r="E4" s="250" t="s">
        <v>464</v>
      </c>
      <c r="F4" s="134" t="s">
        <v>605</v>
      </c>
      <c r="G4" s="249" t="s">
        <v>115</v>
      </c>
      <c r="H4" s="248" t="s">
        <v>258</v>
      </c>
      <c r="I4" s="248" t="s">
        <v>19</v>
      </c>
      <c r="J4" s="248" t="s">
        <v>290</v>
      </c>
      <c r="K4" s="248" t="s">
        <v>416</v>
      </c>
      <c r="L4" s="248" t="s">
        <v>463</v>
      </c>
      <c r="M4" s="248" t="s">
        <v>462</v>
      </c>
      <c r="N4" s="248" t="s">
        <v>461</v>
      </c>
      <c r="O4" s="248" t="s">
        <v>460</v>
      </c>
      <c r="P4" s="248" t="s">
        <v>459</v>
      </c>
      <c r="Q4" s="248" t="s">
        <v>458</v>
      </c>
      <c r="R4" s="233" t="s">
        <v>457</v>
      </c>
      <c r="S4" s="238" t="s">
        <v>456</v>
      </c>
      <c r="T4" s="237" t="s">
        <v>258</v>
      </c>
      <c r="U4" s="236" t="s">
        <v>19</v>
      </c>
      <c r="V4" s="236" t="s">
        <v>416</v>
      </c>
      <c r="W4" s="233" t="s">
        <v>455</v>
      </c>
      <c r="X4" s="233" t="s">
        <v>454</v>
      </c>
      <c r="Y4" s="233" t="s">
        <v>453</v>
      </c>
      <c r="Z4" s="233" t="s">
        <v>452</v>
      </c>
      <c r="AA4" s="233" t="s">
        <v>451</v>
      </c>
      <c r="AB4" s="233" t="s">
        <v>450</v>
      </c>
      <c r="AC4" s="232" t="s">
        <v>449</v>
      </c>
    </row>
    <row r="5" spans="1:29" ht="15.6" x14ac:dyDescent="0.3">
      <c r="A5" s="247"/>
      <c r="B5" s="247"/>
      <c r="C5" s="229" t="s">
        <v>15</v>
      </c>
      <c r="D5" s="345" t="s">
        <v>606</v>
      </c>
      <c r="E5" s="346">
        <v>0</v>
      </c>
      <c r="F5" s="134" t="s">
        <v>77</v>
      </c>
      <c r="G5" s="347">
        <v>0</v>
      </c>
      <c r="H5" s="134" t="s">
        <v>15</v>
      </c>
      <c r="I5" s="134" t="s">
        <v>590</v>
      </c>
      <c r="J5" s="134" t="s">
        <v>199</v>
      </c>
      <c r="K5" s="134" t="s">
        <v>198</v>
      </c>
      <c r="L5" s="134">
        <v>25</v>
      </c>
      <c r="M5" s="134">
        <v>122</v>
      </c>
      <c r="N5" s="134">
        <v>25</v>
      </c>
      <c r="O5" s="134">
        <v>80000</v>
      </c>
      <c r="P5" s="134">
        <v>0</v>
      </c>
      <c r="Q5" s="134">
        <v>44000</v>
      </c>
      <c r="R5" s="134">
        <v>5.2999999999999999E-2</v>
      </c>
      <c r="S5" s="134" t="s">
        <v>115</v>
      </c>
      <c r="T5" s="348" t="s">
        <v>15</v>
      </c>
      <c r="U5" s="134" t="s">
        <v>590</v>
      </c>
      <c r="V5" s="348" t="s">
        <v>206</v>
      </c>
      <c r="W5" s="349">
        <v>0.7</v>
      </c>
      <c r="X5" s="349" t="s">
        <v>97</v>
      </c>
      <c r="Y5" s="349" t="s">
        <v>97</v>
      </c>
      <c r="Z5" s="349" t="s">
        <v>97</v>
      </c>
      <c r="AA5" s="349">
        <v>0.3</v>
      </c>
      <c r="AB5" s="349">
        <v>0.1</v>
      </c>
      <c r="AC5" s="349">
        <v>5.6</v>
      </c>
    </row>
    <row r="6" spans="1:29" ht="15.6" x14ac:dyDescent="0.3">
      <c r="A6" s="247"/>
      <c r="B6" s="247"/>
      <c r="C6" s="229" t="s">
        <v>15</v>
      </c>
      <c r="D6" s="345" t="s">
        <v>607</v>
      </c>
      <c r="E6" s="346">
        <v>0</v>
      </c>
      <c r="F6" s="134" t="s">
        <v>608</v>
      </c>
      <c r="G6" s="347">
        <v>0</v>
      </c>
      <c r="H6" s="134" t="s">
        <v>15</v>
      </c>
      <c r="I6" s="134" t="s">
        <v>590</v>
      </c>
      <c r="J6" s="134" t="s">
        <v>199</v>
      </c>
      <c r="K6" s="134" t="s">
        <v>190</v>
      </c>
      <c r="L6" s="134">
        <v>25</v>
      </c>
      <c r="M6" s="134">
        <v>122</v>
      </c>
      <c r="N6" s="134">
        <v>25</v>
      </c>
      <c r="O6" s="134">
        <v>80000</v>
      </c>
      <c r="P6" s="134">
        <v>0</v>
      </c>
      <c r="Q6" s="134">
        <v>44000</v>
      </c>
      <c r="R6" s="134">
        <v>0</v>
      </c>
      <c r="S6" s="134" t="s">
        <v>115</v>
      </c>
      <c r="T6" s="348" t="s">
        <v>15</v>
      </c>
      <c r="U6" s="134" t="s">
        <v>590</v>
      </c>
      <c r="V6" s="348" t="s">
        <v>198</v>
      </c>
      <c r="W6" s="349">
        <v>0.7</v>
      </c>
      <c r="X6" s="349" t="s">
        <v>97</v>
      </c>
      <c r="Y6" s="349" t="s">
        <v>97</v>
      </c>
      <c r="Z6" s="349" t="s">
        <v>97</v>
      </c>
      <c r="AA6" s="349">
        <v>0.3</v>
      </c>
      <c r="AB6" s="349">
        <v>0.1</v>
      </c>
      <c r="AC6" s="349">
        <v>5.6</v>
      </c>
    </row>
    <row r="7" spans="1:29" ht="15.6" x14ac:dyDescent="0.3">
      <c r="A7" s="247"/>
      <c r="B7" s="247"/>
      <c r="C7" s="229" t="s">
        <v>15</v>
      </c>
      <c r="D7" s="350" t="s">
        <v>609</v>
      </c>
      <c r="E7" s="346">
        <v>0.28999999999999998</v>
      </c>
      <c r="F7" s="134" t="s">
        <v>76</v>
      </c>
      <c r="G7" s="347">
        <v>0</v>
      </c>
      <c r="H7" s="134" t="s">
        <v>15</v>
      </c>
      <c r="I7" s="134" t="s">
        <v>590</v>
      </c>
      <c r="J7" s="134" t="s">
        <v>199</v>
      </c>
      <c r="K7" s="134" t="s">
        <v>206</v>
      </c>
      <c r="L7" s="134">
        <v>25</v>
      </c>
      <c r="M7" s="134">
        <v>122</v>
      </c>
      <c r="N7" s="134">
        <v>25</v>
      </c>
      <c r="O7" s="134">
        <v>80000</v>
      </c>
      <c r="P7" s="134">
        <v>0</v>
      </c>
      <c r="Q7" s="134">
        <v>44000</v>
      </c>
      <c r="R7" s="134">
        <v>0</v>
      </c>
      <c r="S7" s="134" t="s">
        <v>115</v>
      </c>
      <c r="T7" s="348" t="s">
        <v>15</v>
      </c>
      <c r="U7" s="134" t="s">
        <v>590</v>
      </c>
      <c r="V7" s="348" t="s">
        <v>190</v>
      </c>
      <c r="W7" s="349">
        <v>0.7</v>
      </c>
      <c r="X7" s="349" t="s">
        <v>97</v>
      </c>
      <c r="Y7" s="349" t="s">
        <v>97</v>
      </c>
      <c r="Z7" s="349" t="s">
        <v>97</v>
      </c>
      <c r="AA7" s="349">
        <v>0.3</v>
      </c>
      <c r="AB7" s="349">
        <v>0.1</v>
      </c>
      <c r="AC7" s="349">
        <v>5.6</v>
      </c>
    </row>
    <row r="8" spans="1:29" ht="15.6" x14ac:dyDescent="0.3">
      <c r="A8" s="247"/>
      <c r="B8" s="247"/>
      <c r="C8" s="229" t="s">
        <v>15</v>
      </c>
      <c r="D8" s="134" t="s">
        <v>610</v>
      </c>
      <c r="E8" s="346">
        <v>0.6</v>
      </c>
      <c r="F8" s="134" t="s">
        <v>611</v>
      </c>
      <c r="G8" s="347">
        <v>0</v>
      </c>
      <c r="H8" s="134" t="s">
        <v>15</v>
      </c>
      <c r="I8" s="134" t="s">
        <v>591</v>
      </c>
      <c r="J8" s="134" t="s">
        <v>207</v>
      </c>
      <c r="K8" s="134" t="s">
        <v>206</v>
      </c>
      <c r="L8" s="134">
        <v>25</v>
      </c>
      <c r="M8" s="134">
        <v>87</v>
      </c>
      <c r="N8" s="134">
        <v>140</v>
      </c>
      <c r="O8" s="134">
        <v>2000</v>
      </c>
      <c r="P8" s="134">
        <v>1440</v>
      </c>
      <c r="Q8" s="134">
        <v>12500</v>
      </c>
      <c r="R8" s="134">
        <v>0</v>
      </c>
      <c r="S8" s="134" t="s">
        <v>115</v>
      </c>
      <c r="T8" s="348" t="s">
        <v>15</v>
      </c>
      <c r="U8" s="134" t="s">
        <v>591</v>
      </c>
      <c r="V8" s="348" t="s">
        <v>206</v>
      </c>
      <c r="W8" s="349">
        <v>0.7</v>
      </c>
      <c r="X8" s="349">
        <v>0</v>
      </c>
      <c r="Y8" s="349">
        <v>0</v>
      </c>
      <c r="Z8" s="349">
        <v>0</v>
      </c>
      <c r="AA8" s="349">
        <v>0.3</v>
      </c>
      <c r="AB8" s="349">
        <v>0.1</v>
      </c>
      <c r="AC8" s="349">
        <v>0.4</v>
      </c>
    </row>
    <row r="9" spans="1:29" ht="15.6" x14ac:dyDescent="0.3">
      <c r="A9" s="247"/>
      <c r="B9" s="247"/>
      <c r="C9" s="229" t="s">
        <v>15</v>
      </c>
      <c r="D9" s="351" t="s">
        <v>612</v>
      </c>
      <c r="E9" s="346">
        <v>0.6</v>
      </c>
      <c r="F9" s="246"/>
      <c r="G9" s="245"/>
      <c r="H9" s="134" t="s">
        <v>15</v>
      </c>
      <c r="I9" s="134" t="s">
        <v>591</v>
      </c>
      <c r="J9" s="134" t="s">
        <v>207</v>
      </c>
      <c r="K9" s="134" t="s">
        <v>198</v>
      </c>
      <c r="L9" s="134">
        <v>25</v>
      </c>
      <c r="M9" s="134">
        <v>87</v>
      </c>
      <c r="N9" s="134">
        <v>140</v>
      </c>
      <c r="O9" s="134">
        <v>2000</v>
      </c>
      <c r="P9" s="134">
        <v>1440</v>
      </c>
      <c r="Q9" s="134">
        <v>12500</v>
      </c>
      <c r="R9" s="134">
        <v>0</v>
      </c>
      <c r="S9" s="134" t="s">
        <v>115</v>
      </c>
      <c r="T9" s="348" t="s">
        <v>15</v>
      </c>
      <c r="U9" s="134" t="s">
        <v>591</v>
      </c>
      <c r="V9" s="348" t="s">
        <v>198</v>
      </c>
      <c r="W9" s="349">
        <v>0.7</v>
      </c>
      <c r="X9" s="349">
        <v>0</v>
      </c>
      <c r="Y9" s="349">
        <v>0</v>
      </c>
      <c r="Z9" s="349">
        <v>0</v>
      </c>
      <c r="AA9" s="349">
        <v>0.3</v>
      </c>
      <c r="AB9" s="349">
        <v>0.1</v>
      </c>
      <c r="AC9" s="349">
        <v>0.4</v>
      </c>
    </row>
    <row r="10" spans="1:29" ht="15.6" x14ac:dyDescent="0.3">
      <c r="A10" s="247"/>
      <c r="B10" s="247"/>
      <c r="C10" s="229" t="s">
        <v>15</v>
      </c>
      <c r="D10" s="134" t="s">
        <v>112</v>
      </c>
      <c r="E10" s="346">
        <v>0.28999999999999998</v>
      </c>
      <c r="F10" s="246"/>
      <c r="G10" s="245"/>
      <c r="H10" s="134" t="s">
        <v>15</v>
      </c>
      <c r="I10" s="134" t="s">
        <v>591</v>
      </c>
      <c r="J10" s="134" t="s">
        <v>207</v>
      </c>
      <c r="K10" s="134" t="s">
        <v>190</v>
      </c>
      <c r="L10" s="134">
        <v>25</v>
      </c>
      <c r="M10" s="134">
        <v>87</v>
      </c>
      <c r="N10" s="134">
        <v>140</v>
      </c>
      <c r="O10" s="134">
        <v>3500</v>
      </c>
      <c r="P10" s="134">
        <v>2520</v>
      </c>
      <c r="Q10" s="134">
        <v>12500</v>
      </c>
      <c r="R10" s="134">
        <v>0.53600000000000003</v>
      </c>
      <c r="S10" s="134" t="s">
        <v>115</v>
      </c>
      <c r="T10" s="348" t="s">
        <v>15</v>
      </c>
      <c r="U10" s="134" t="s">
        <v>591</v>
      </c>
      <c r="V10" s="348" t="s">
        <v>190</v>
      </c>
      <c r="W10" s="349">
        <v>0.7</v>
      </c>
      <c r="X10" s="349">
        <v>0</v>
      </c>
      <c r="Y10" s="349">
        <v>0</v>
      </c>
      <c r="Z10" s="349">
        <v>0</v>
      </c>
      <c r="AA10" s="349">
        <v>0.3</v>
      </c>
      <c r="AB10" s="349">
        <v>0.1</v>
      </c>
      <c r="AC10" s="349">
        <v>0.4</v>
      </c>
    </row>
    <row r="11" spans="1:29" ht="15.6" x14ac:dyDescent="0.3">
      <c r="A11" s="247"/>
      <c r="B11" s="247"/>
      <c r="C11" s="229" t="s">
        <v>15</v>
      </c>
      <c r="D11" s="352" t="s">
        <v>613</v>
      </c>
      <c r="E11" s="346">
        <v>0.28666666666666701</v>
      </c>
      <c r="F11" s="246"/>
      <c r="G11" s="245"/>
      <c r="H11" s="134" t="s">
        <v>15</v>
      </c>
      <c r="I11" s="134" t="s">
        <v>592</v>
      </c>
      <c r="J11" s="134" t="s">
        <v>207</v>
      </c>
      <c r="K11" s="134" t="s">
        <v>206</v>
      </c>
      <c r="L11" s="134">
        <v>0</v>
      </c>
      <c r="M11" s="134">
        <v>6</v>
      </c>
      <c r="N11" s="134">
        <v>100</v>
      </c>
      <c r="O11" s="134">
        <v>2000</v>
      </c>
      <c r="P11" s="134">
        <v>0</v>
      </c>
      <c r="Q11" s="134">
        <v>40000</v>
      </c>
      <c r="R11" s="134">
        <v>0</v>
      </c>
      <c r="S11" s="134" t="s">
        <v>115</v>
      </c>
      <c r="T11" s="348" t="s">
        <v>15</v>
      </c>
      <c r="U11" s="134" t="s">
        <v>592</v>
      </c>
      <c r="V11" s="348" t="s">
        <v>206</v>
      </c>
      <c r="W11" s="349">
        <v>10</v>
      </c>
      <c r="X11" s="349">
        <v>2</v>
      </c>
      <c r="Y11" s="349">
        <v>0</v>
      </c>
      <c r="Z11" s="349">
        <v>0</v>
      </c>
      <c r="AA11" s="349">
        <v>2</v>
      </c>
      <c r="AB11" s="349">
        <v>0.5</v>
      </c>
      <c r="AC11" s="349">
        <v>3</v>
      </c>
    </row>
    <row r="12" spans="1:29" ht="15.6" x14ac:dyDescent="0.3">
      <c r="A12" s="247"/>
      <c r="B12" s="247"/>
      <c r="C12" s="229" t="s">
        <v>15</v>
      </c>
      <c r="D12" s="351" t="s">
        <v>614</v>
      </c>
      <c r="E12" s="346">
        <v>0.28523809523809501</v>
      </c>
      <c r="F12" s="246"/>
      <c r="G12" s="245"/>
      <c r="H12" s="134" t="s">
        <v>15</v>
      </c>
      <c r="I12" s="134" t="s">
        <v>592</v>
      </c>
      <c r="J12" s="134" t="s">
        <v>207</v>
      </c>
      <c r="K12" s="134" t="s">
        <v>198</v>
      </c>
      <c r="L12" s="134">
        <v>0</v>
      </c>
      <c r="M12" s="134">
        <v>6</v>
      </c>
      <c r="N12" s="134">
        <v>100</v>
      </c>
      <c r="O12" s="134">
        <v>2000</v>
      </c>
      <c r="P12" s="134">
        <v>0</v>
      </c>
      <c r="Q12" s="134">
        <v>40000</v>
      </c>
      <c r="R12" s="134">
        <v>0</v>
      </c>
      <c r="S12" s="134" t="s">
        <v>115</v>
      </c>
      <c r="T12" s="348" t="s">
        <v>15</v>
      </c>
      <c r="U12" s="134" t="s">
        <v>592</v>
      </c>
      <c r="V12" s="348" t="s">
        <v>198</v>
      </c>
      <c r="W12" s="349">
        <v>10</v>
      </c>
      <c r="X12" s="349">
        <v>2</v>
      </c>
      <c r="Y12" s="349">
        <v>0</v>
      </c>
      <c r="Z12" s="349">
        <v>0</v>
      </c>
      <c r="AA12" s="349">
        <v>2</v>
      </c>
      <c r="AB12" s="349">
        <v>0.5</v>
      </c>
      <c r="AC12" s="349">
        <v>3</v>
      </c>
    </row>
    <row r="13" spans="1:29" ht="15.6" x14ac:dyDescent="0.3">
      <c r="A13" s="247"/>
      <c r="B13" s="247"/>
      <c r="C13" s="229" t="s">
        <v>15</v>
      </c>
      <c r="D13" s="351" t="s">
        <v>615</v>
      </c>
      <c r="E13" s="346">
        <v>0.6</v>
      </c>
      <c r="F13" s="246"/>
      <c r="G13" s="245"/>
      <c r="H13" s="134" t="s">
        <v>15</v>
      </c>
      <c r="I13" s="134" t="s">
        <v>592</v>
      </c>
      <c r="J13" s="134" t="s">
        <v>207</v>
      </c>
      <c r="K13" s="134" t="s">
        <v>190</v>
      </c>
      <c r="L13" s="134">
        <v>0</v>
      </c>
      <c r="M13" s="134">
        <v>6</v>
      </c>
      <c r="N13" s="134">
        <v>100</v>
      </c>
      <c r="O13" s="134">
        <v>2000</v>
      </c>
      <c r="P13" s="134">
        <v>0</v>
      </c>
      <c r="Q13" s="134">
        <v>40000</v>
      </c>
      <c r="R13" s="134">
        <v>8.0000000000000002E-3</v>
      </c>
      <c r="S13" s="134" t="s">
        <v>115</v>
      </c>
      <c r="T13" s="348" t="s">
        <v>15</v>
      </c>
      <c r="U13" s="134" t="s">
        <v>592</v>
      </c>
      <c r="V13" s="348" t="s">
        <v>190</v>
      </c>
      <c r="W13" s="349">
        <v>10</v>
      </c>
      <c r="X13" s="349">
        <v>2</v>
      </c>
      <c r="Y13" s="349">
        <v>0</v>
      </c>
      <c r="Z13" s="349">
        <v>0</v>
      </c>
      <c r="AA13" s="349">
        <v>2</v>
      </c>
      <c r="AB13" s="349">
        <v>0.5</v>
      </c>
      <c r="AC13" s="349">
        <v>3</v>
      </c>
    </row>
    <row r="14" spans="1:29" ht="15.6" x14ac:dyDescent="0.3">
      <c r="A14" s="247"/>
      <c r="B14" s="247"/>
      <c r="C14" s="229" t="s">
        <v>15</v>
      </c>
      <c r="D14" s="134" t="s">
        <v>616</v>
      </c>
      <c r="E14" s="346">
        <v>0</v>
      </c>
      <c r="F14" s="246"/>
      <c r="G14" s="245"/>
      <c r="H14" s="134" t="s">
        <v>15</v>
      </c>
      <c r="I14" s="134" t="s">
        <v>593</v>
      </c>
      <c r="J14" s="134" t="s">
        <v>199</v>
      </c>
      <c r="K14" s="134" t="s">
        <v>190</v>
      </c>
      <c r="L14" s="134">
        <v>25</v>
      </c>
      <c r="M14" s="134">
        <v>122</v>
      </c>
      <c r="N14" s="134">
        <v>25</v>
      </c>
      <c r="O14" s="134">
        <v>7000</v>
      </c>
      <c r="P14" s="134">
        <v>0</v>
      </c>
      <c r="Q14" s="134">
        <v>44000</v>
      </c>
      <c r="R14" s="134">
        <v>0.36</v>
      </c>
      <c r="S14" s="134" t="s">
        <v>115</v>
      </c>
      <c r="T14" s="348" t="s">
        <v>15</v>
      </c>
      <c r="U14" s="348" t="s">
        <v>593</v>
      </c>
      <c r="V14" s="348" t="s">
        <v>206</v>
      </c>
      <c r="W14" s="349">
        <v>0.7</v>
      </c>
      <c r="X14" s="349">
        <v>0</v>
      </c>
      <c r="Y14" s="349">
        <v>0</v>
      </c>
      <c r="Z14" s="349">
        <v>0</v>
      </c>
      <c r="AA14" s="349">
        <v>0.3</v>
      </c>
      <c r="AB14" s="349">
        <v>0.1</v>
      </c>
      <c r="AC14" s="349">
        <v>4.5</v>
      </c>
    </row>
    <row r="15" spans="1:29" ht="15.6" x14ac:dyDescent="0.3">
      <c r="A15" s="247"/>
      <c r="B15" s="247"/>
      <c r="C15" s="229" t="s">
        <v>15</v>
      </c>
      <c r="D15" s="345" t="s">
        <v>617</v>
      </c>
      <c r="E15" s="346">
        <v>0.28095238095238101</v>
      </c>
      <c r="F15" s="246"/>
      <c r="G15" s="245"/>
      <c r="H15" s="134" t="s">
        <v>15</v>
      </c>
      <c r="I15" s="134" t="s">
        <v>593</v>
      </c>
      <c r="J15" s="134" t="s">
        <v>199</v>
      </c>
      <c r="K15" s="134" t="s">
        <v>198</v>
      </c>
      <c r="L15" s="134">
        <v>25</v>
      </c>
      <c r="M15" s="134">
        <v>122</v>
      </c>
      <c r="N15" s="134">
        <v>25</v>
      </c>
      <c r="O15" s="134">
        <v>7000</v>
      </c>
      <c r="P15" s="134">
        <v>0</v>
      </c>
      <c r="Q15" s="134">
        <v>44000</v>
      </c>
      <c r="R15" s="134">
        <v>0</v>
      </c>
      <c r="S15" s="134" t="s">
        <v>115</v>
      </c>
      <c r="T15" s="348" t="s">
        <v>15</v>
      </c>
      <c r="U15" s="348" t="s">
        <v>593</v>
      </c>
      <c r="V15" s="348" t="s">
        <v>198</v>
      </c>
      <c r="W15" s="349">
        <v>0.7</v>
      </c>
      <c r="X15" s="349">
        <v>0</v>
      </c>
      <c r="Y15" s="349">
        <v>0</v>
      </c>
      <c r="Z15" s="349">
        <v>0</v>
      </c>
      <c r="AA15" s="349">
        <v>0.3</v>
      </c>
      <c r="AB15" s="349">
        <v>0.1</v>
      </c>
      <c r="AC15" s="349">
        <v>4.5</v>
      </c>
    </row>
    <row r="16" spans="1:29" ht="15.6" x14ac:dyDescent="0.3">
      <c r="A16" s="247"/>
      <c r="B16" s="247"/>
      <c r="C16" s="229" t="s">
        <v>15</v>
      </c>
      <c r="D16" s="353" t="s">
        <v>618</v>
      </c>
      <c r="E16" s="346">
        <v>0</v>
      </c>
      <c r="F16" s="246"/>
      <c r="G16" s="245"/>
      <c r="H16" s="134" t="s">
        <v>15</v>
      </c>
      <c r="I16" s="134" t="s">
        <v>593</v>
      </c>
      <c r="J16" s="134" t="s">
        <v>199</v>
      </c>
      <c r="K16" s="134" t="s">
        <v>206</v>
      </c>
      <c r="L16" s="134">
        <v>25</v>
      </c>
      <c r="M16" s="134">
        <v>122</v>
      </c>
      <c r="N16" s="134">
        <v>25</v>
      </c>
      <c r="O16" s="134">
        <v>7000</v>
      </c>
      <c r="P16" s="134">
        <v>0</v>
      </c>
      <c r="Q16" s="134">
        <v>44000</v>
      </c>
      <c r="R16" s="134">
        <v>0</v>
      </c>
      <c r="S16" s="134" t="s">
        <v>115</v>
      </c>
      <c r="T16" s="348" t="s">
        <v>15</v>
      </c>
      <c r="U16" s="348" t="s">
        <v>593</v>
      </c>
      <c r="V16" s="348" t="s">
        <v>190</v>
      </c>
      <c r="W16" s="349">
        <v>0.7</v>
      </c>
      <c r="X16" s="349">
        <v>0</v>
      </c>
      <c r="Y16" s="349">
        <v>0</v>
      </c>
      <c r="Z16" s="349">
        <v>0</v>
      </c>
      <c r="AA16" s="349">
        <v>0.3</v>
      </c>
      <c r="AB16" s="349">
        <v>0.1</v>
      </c>
      <c r="AC16" s="349">
        <v>4.5</v>
      </c>
    </row>
    <row r="17" spans="1:29" ht="15.6" x14ac:dyDescent="0.3">
      <c r="A17" s="247"/>
      <c r="B17" s="247"/>
      <c r="C17" s="229" t="s">
        <v>15</v>
      </c>
      <c r="D17" s="350" t="s">
        <v>619</v>
      </c>
      <c r="E17" s="346">
        <v>0</v>
      </c>
      <c r="F17" s="246"/>
      <c r="G17" s="245"/>
      <c r="H17" s="134" t="s">
        <v>15</v>
      </c>
      <c r="I17" s="134" t="s">
        <v>594</v>
      </c>
      <c r="J17" s="134" t="s">
        <v>207</v>
      </c>
      <c r="K17" s="134" t="s">
        <v>190</v>
      </c>
      <c r="L17" s="134">
        <v>0</v>
      </c>
      <c r="M17" s="134">
        <v>6</v>
      </c>
      <c r="N17" s="134">
        <v>50</v>
      </c>
      <c r="O17" s="134">
        <v>1500</v>
      </c>
      <c r="P17" s="134">
        <v>0</v>
      </c>
      <c r="Q17" s="134">
        <v>40000</v>
      </c>
      <c r="R17" s="134">
        <v>7.0000000000000001E-3</v>
      </c>
      <c r="S17" s="134" t="s">
        <v>115</v>
      </c>
      <c r="T17" s="348" t="s">
        <v>15</v>
      </c>
      <c r="U17" s="348" t="s">
        <v>594</v>
      </c>
      <c r="V17" s="348" t="s">
        <v>206</v>
      </c>
      <c r="W17" s="349">
        <v>6</v>
      </c>
      <c r="X17" s="349">
        <v>1</v>
      </c>
      <c r="Y17" s="349">
        <v>0</v>
      </c>
      <c r="Z17" s="349">
        <v>0</v>
      </c>
      <c r="AA17" s="349">
        <v>1.5</v>
      </c>
      <c r="AB17" s="349">
        <v>0.2</v>
      </c>
      <c r="AC17" s="349">
        <v>1.5</v>
      </c>
    </row>
    <row r="18" spans="1:29" ht="15.6" x14ac:dyDescent="0.3">
      <c r="A18" s="247"/>
      <c r="B18" s="247"/>
      <c r="C18" s="229" t="s">
        <v>15</v>
      </c>
      <c r="D18" s="350" t="s">
        <v>620</v>
      </c>
      <c r="E18" s="346">
        <v>0</v>
      </c>
      <c r="F18" s="246"/>
      <c r="G18" s="245"/>
      <c r="H18" s="134" t="s">
        <v>15</v>
      </c>
      <c r="I18" s="134" t="s">
        <v>594</v>
      </c>
      <c r="J18" s="134" t="s">
        <v>207</v>
      </c>
      <c r="K18" s="134" t="s">
        <v>198</v>
      </c>
      <c r="L18" s="134">
        <v>0</v>
      </c>
      <c r="M18" s="134">
        <v>6</v>
      </c>
      <c r="N18" s="134">
        <v>50</v>
      </c>
      <c r="O18" s="134">
        <v>1500</v>
      </c>
      <c r="P18" s="134">
        <v>0</v>
      </c>
      <c r="Q18" s="134">
        <v>40000</v>
      </c>
      <c r="R18" s="134">
        <v>7.0000000000000001E-3</v>
      </c>
      <c r="S18" s="134" t="s">
        <v>115</v>
      </c>
      <c r="T18" s="348" t="s">
        <v>15</v>
      </c>
      <c r="U18" s="348" t="s">
        <v>594</v>
      </c>
      <c r="V18" s="348" t="s">
        <v>198</v>
      </c>
      <c r="W18" s="349">
        <v>6</v>
      </c>
      <c r="X18" s="349">
        <v>1</v>
      </c>
      <c r="Y18" s="349">
        <v>0</v>
      </c>
      <c r="Z18" s="349">
        <v>0</v>
      </c>
      <c r="AA18" s="349">
        <v>1.5</v>
      </c>
      <c r="AB18" s="349">
        <v>0.2</v>
      </c>
      <c r="AC18" s="349">
        <v>1.5</v>
      </c>
    </row>
    <row r="19" spans="1:29" ht="16.2" thickBot="1" x14ac:dyDescent="0.35">
      <c r="A19" s="247"/>
      <c r="B19" s="247"/>
      <c r="C19" s="229" t="s">
        <v>15</v>
      </c>
      <c r="D19" s="352" t="s">
        <v>621</v>
      </c>
      <c r="E19" s="346">
        <v>0</v>
      </c>
      <c r="F19" s="246"/>
      <c r="G19" s="245"/>
      <c r="H19" s="134" t="s">
        <v>15</v>
      </c>
      <c r="I19" s="134" t="s">
        <v>594</v>
      </c>
      <c r="J19" s="134" t="s">
        <v>207</v>
      </c>
      <c r="K19" s="134" t="s">
        <v>206</v>
      </c>
      <c r="L19" s="134">
        <v>0</v>
      </c>
      <c r="M19" s="134">
        <v>6</v>
      </c>
      <c r="N19" s="134">
        <v>50</v>
      </c>
      <c r="O19" s="134">
        <v>1500</v>
      </c>
      <c r="P19" s="134">
        <v>0</v>
      </c>
      <c r="Q19" s="134">
        <v>40000</v>
      </c>
      <c r="R19" s="134">
        <v>7.0000000000000001E-3</v>
      </c>
      <c r="S19" s="134" t="s">
        <v>115</v>
      </c>
      <c r="T19" s="348" t="s">
        <v>15</v>
      </c>
      <c r="U19" s="348" t="s">
        <v>594</v>
      </c>
      <c r="V19" s="348" t="s">
        <v>190</v>
      </c>
      <c r="W19" s="349">
        <v>6</v>
      </c>
      <c r="X19" s="349">
        <v>1</v>
      </c>
      <c r="Y19" s="349">
        <v>0</v>
      </c>
      <c r="Z19" s="349">
        <v>0</v>
      </c>
      <c r="AA19" s="349">
        <v>1.5</v>
      </c>
      <c r="AB19" s="349">
        <v>0.2</v>
      </c>
      <c r="AC19" s="349">
        <v>1.5</v>
      </c>
    </row>
    <row r="20" spans="1:29" ht="16.2" thickBot="1" x14ac:dyDescent="0.35">
      <c r="A20" s="247"/>
      <c r="B20" s="247"/>
      <c r="C20" s="354" t="s">
        <v>16</v>
      </c>
      <c r="D20" s="345" t="s">
        <v>606</v>
      </c>
      <c r="E20" s="346">
        <v>0</v>
      </c>
      <c r="F20" s="246"/>
      <c r="G20" s="245"/>
      <c r="H20" s="134" t="s">
        <v>15</v>
      </c>
      <c r="I20" s="134" t="s">
        <v>595</v>
      </c>
      <c r="J20" s="134" t="s">
        <v>199</v>
      </c>
      <c r="K20" s="134" t="s">
        <v>206</v>
      </c>
      <c r="L20" s="134">
        <v>0</v>
      </c>
      <c r="M20" s="134">
        <v>197</v>
      </c>
      <c r="N20" s="134">
        <v>140</v>
      </c>
      <c r="O20" s="134">
        <v>700</v>
      </c>
      <c r="P20" s="134">
        <v>420</v>
      </c>
      <c r="Q20" s="134">
        <v>191000</v>
      </c>
      <c r="R20" s="134">
        <v>0</v>
      </c>
      <c r="S20" s="134" t="s">
        <v>115</v>
      </c>
      <c r="T20" s="348" t="s">
        <v>15</v>
      </c>
      <c r="U20" s="348" t="s">
        <v>595</v>
      </c>
      <c r="V20" s="348" t="s">
        <v>206</v>
      </c>
      <c r="W20" s="349">
        <v>0.5</v>
      </c>
      <c r="X20" s="349">
        <v>0</v>
      </c>
      <c r="Y20" s="349">
        <v>0</v>
      </c>
      <c r="Z20" s="349">
        <v>0</v>
      </c>
      <c r="AA20" s="349">
        <v>0.3</v>
      </c>
      <c r="AB20" s="349">
        <v>0.1</v>
      </c>
      <c r="AC20" s="349">
        <v>0.3</v>
      </c>
    </row>
    <row r="21" spans="1:29" ht="16.2" thickBot="1" x14ac:dyDescent="0.35">
      <c r="A21" s="247"/>
      <c r="B21" s="247"/>
      <c r="C21" s="354" t="s">
        <v>16</v>
      </c>
      <c r="D21" s="345" t="s">
        <v>607</v>
      </c>
      <c r="E21" s="346">
        <v>0</v>
      </c>
      <c r="F21" s="246"/>
      <c r="G21" s="245"/>
      <c r="H21" s="134" t="s">
        <v>15</v>
      </c>
      <c r="I21" s="134" t="s">
        <v>595</v>
      </c>
      <c r="J21" s="134" t="s">
        <v>199</v>
      </c>
      <c r="K21" s="134" t="s">
        <v>198</v>
      </c>
      <c r="L21" s="134">
        <v>0</v>
      </c>
      <c r="M21" s="134">
        <v>197</v>
      </c>
      <c r="N21" s="134">
        <v>180</v>
      </c>
      <c r="O21" s="134">
        <v>2000</v>
      </c>
      <c r="P21" s="134">
        <v>1200</v>
      </c>
      <c r="Q21" s="134">
        <v>191000</v>
      </c>
      <c r="R21" s="134">
        <v>0</v>
      </c>
      <c r="S21" s="134" t="s">
        <v>115</v>
      </c>
      <c r="T21" s="348" t="s">
        <v>15</v>
      </c>
      <c r="U21" s="134" t="s">
        <v>595</v>
      </c>
      <c r="V21" s="348" t="s">
        <v>198</v>
      </c>
      <c r="W21" s="349">
        <v>0.6</v>
      </c>
      <c r="X21" s="349">
        <v>0</v>
      </c>
      <c r="Y21" s="349">
        <v>0</v>
      </c>
      <c r="Z21" s="349">
        <v>0</v>
      </c>
      <c r="AA21" s="349">
        <v>0.3</v>
      </c>
      <c r="AB21" s="349">
        <v>0.1</v>
      </c>
      <c r="AC21" s="349">
        <v>0.4</v>
      </c>
    </row>
    <row r="22" spans="1:29" ht="16.2" thickBot="1" x14ac:dyDescent="0.35">
      <c r="A22" s="247"/>
      <c r="B22" s="247"/>
      <c r="C22" s="354" t="s">
        <v>16</v>
      </c>
      <c r="D22" s="350" t="s">
        <v>609</v>
      </c>
      <c r="E22" s="346">
        <v>0.28999999999999998</v>
      </c>
      <c r="F22" s="246"/>
      <c r="G22" s="245"/>
      <c r="H22" s="134" t="s">
        <v>15</v>
      </c>
      <c r="I22" s="134" t="s">
        <v>595</v>
      </c>
      <c r="J22" s="134" t="s">
        <v>199</v>
      </c>
      <c r="K22" s="134" t="s">
        <v>190</v>
      </c>
      <c r="L22" s="134">
        <v>0</v>
      </c>
      <c r="M22" s="134">
        <v>197</v>
      </c>
      <c r="N22" s="134">
        <v>200</v>
      </c>
      <c r="O22" s="134">
        <v>3500</v>
      </c>
      <c r="P22" s="134">
        <v>2100</v>
      </c>
      <c r="Q22" s="134">
        <v>191000</v>
      </c>
      <c r="R22" s="134">
        <v>0.05</v>
      </c>
      <c r="S22" s="134" t="s">
        <v>115</v>
      </c>
      <c r="T22" s="348" t="s">
        <v>15</v>
      </c>
      <c r="U22" s="134" t="s">
        <v>595</v>
      </c>
      <c r="V22" s="348" t="s">
        <v>190</v>
      </c>
      <c r="W22" s="349">
        <v>0.7</v>
      </c>
      <c r="X22" s="349">
        <v>0</v>
      </c>
      <c r="Y22" s="349">
        <v>0</v>
      </c>
      <c r="Z22" s="349">
        <v>0</v>
      </c>
      <c r="AA22" s="349">
        <v>0.3</v>
      </c>
      <c r="AB22" s="349">
        <v>0.1</v>
      </c>
      <c r="AC22" s="349">
        <v>0.5</v>
      </c>
    </row>
    <row r="23" spans="1:29" ht="16.2" thickBot="1" x14ac:dyDescent="0.35">
      <c r="A23" s="247"/>
      <c r="B23" s="247"/>
      <c r="C23" s="354" t="s">
        <v>16</v>
      </c>
      <c r="D23" s="134" t="s">
        <v>610</v>
      </c>
      <c r="E23" s="346">
        <v>0</v>
      </c>
      <c r="F23" s="246"/>
      <c r="G23" s="245"/>
      <c r="H23" s="134" t="s">
        <v>15</v>
      </c>
      <c r="I23" s="134" t="s">
        <v>597</v>
      </c>
      <c r="J23" s="134" t="s">
        <v>199</v>
      </c>
      <c r="K23" s="134" t="s">
        <v>190</v>
      </c>
      <c r="L23" s="134">
        <v>25</v>
      </c>
      <c r="M23" s="134">
        <v>122</v>
      </c>
      <c r="N23" s="134">
        <v>200</v>
      </c>
      <c r="O23" s="134">
        <v>45000</v>
      </c>
      <c r="P23" s="134">
        <v>0</v>
      </c>
      <c r="Q23" s="134">
        <v>44000</v>
      </c>
      <c r="R23" s="134">
        <v>0.38300000000000001</v>
      </c>
      <c r="S23" s="134" t="s">
        <v>115</v>
      </c>
      <c r="T23" s="348" t="s">
        <v>15</v>
      </c>
      <c r="U23" s="134" t="s">
        <v>597</v>
      </c>
      <c r="V23" s="348" t="s">
        <v>206</v>
      </c>
      <c r="W23" s="349">
        <v>0.7</v>
      </c>
      <c r="X23" s="349">
        <v>0</v>
      </c>
      <c r="Y23" s="349">
        <v>0</v>
      </c>
      <c r="Z23" s="349">
        <v>0</v>
      </c>
      <c r="AA23" s="349">
        <v>0.3</v>
      </c>
      <c r="AB23" s="349">
        <v>0.1</v>
      </c>
      <c r="AC23" s="349">
        <v>0.8</v>
      </c>
    </row>
    <row r="24" spans="1:29" ht="16.2" thickBot="1" x14ac:dyDescent="0.35">
      <c r="A24" s="247"/>
      <c r="B24" s="247"/>
      <c r="C24" s="354" t="s">
        <v>16</v>
      </c>
      <c r="D24" s="351" t="s">
        <v>612</v>
      </c>
      <c r="E24" s="346">
        <v>0</v>
      </c>
      <c r="F24" s="246"/>
      <c r="G24" s="245"/>
      <c r="H24" s="134" t="s">
        <v>15</v>
      </c>
      <c r="I24" s="134" t="s">
        <v>598</v>
      </c>
      <c r="J24" s="134" t="s">
        <v>207</v>
      </c>
      <c r="K24" s="134" t="s">
        <v>206</v>
      </c>
      <c r="L24" s="134">
        <v>25</v>
      </c>
      <c r="M24" s="134">
        <v>122</v>
      </c>
      <c r="N24" s="134">
        <v>200</v>
      </c>
      <c r="O24" s="134">
        <v>45000</v>
      </c>
      <c r="P24" s="134">
        <v>32400</v>
      </c>
      <c r="Q24" s="134">
        <v>44000</v>
      </c>
      <c r="R24" s="134">
        <v>0</v>
      </c>
      <c r="S24" s="134" t="s">
        <v>115</v>
      </c>
      <c r="T24" s="348" t="s">
        <v>15</v>
      </c>
      <c r="U24" s="134" t="s">
        <v>597</v>
      </c>
      <c r="V24" s="348" t="s">
        <v>198</v>
      </c>
      <c r="W24" s="349">
        <v>0.7</v>
      </c>
      <c r="X24" s="349">
        <v>0</v>
      </c>
      <c r="Y24" s="349">
        <v>0</v>
      </c>
      <c r="Z24" s="349">
        <v>0</v>
      </c>
      <c r="AA24" s="349">
        <v>0.3</v>
      </c>
      <c r="AB24" s="349">
        <v>0.1</v>
      </c>
      <c r="AC24" s="349">
        <v>0.8</v>
      </c>
    </row>
    <row r="25" spans="1:29" ht="16.2" thickBot="1" x14ac:dyDescent="0.35">
      <c r="A25" s="247"/>
      <c r="B25" s="247"/>
      <c r="C25" s="354" t="s">
        <v>16</v>
      </c>
      <c r="D25" s="134" t="s">
        <v>112</v>
      </c>
      <c r="E25" s="346">
        <v>0</v>
      </c>
      <c r="F25" s="246"/>
      <c r="G25" s="245"/>
      <c r="H25" s="134" t="s">
        <v>15</v>
      </c>
      <c r="I25" s="134" t="s">
        <v>598</v>
      </c>
      <c r="J25" s="134" t="s">
        <v>207</v>
      </c>
      <c r="K25" s="134" t="s">
        <v>198</v>
      </c>
      <c r="L25" s="134">
        <v>25</v>
      </c>
      <c r="M25" s="134">
        <v>122</v>
      </c>
      <c r="N25" s="134">
        <v>200</v>
      </c>
      <c r="O25" s="134">
        <v>45000</v>
      </c>
      <c r="P25" s="134">
        <v>32400</v>
      </c>
      <c r="Q25" s="134">
        <v>44000</v>
      </c>
      <c r="R25" s="134">
        <v>0</v>
      </c>
      <c r="S25" s="134" t="s">
        <v>115</v>
      </c>
      <c r="T25" s="348" t="s">
        <v>15</v>
      </c>
      <c r="U25" s="134" t="s">
        <v>597</v>
      </c>
      <c r="V25" s="348" t="s">
        <v>190</v>
      </c>
      <c r="W25" s="349">
        <v>0.7</v>
      </c>
      <c r="X25" s="349">
        <v>0</v>
      </c>
      <c r="Y25" s="349">
        <v>0</v>
      </c>
      <c r="Z25" s="349">
        <v>0</v>
      </c>
      <c r="AA25" s="349">
        <v>0.3</v>
      </c>
      <c r="AB25" s="349">
        <v>0.1</v>
      </c>
      <c r="AC25" s="349">
        <v>0.8</v>
      </c>
    </row>
    <row r="26" spans="1:29" ht="16.2" thickBot="1" x14ac:dyDescent="0.35">
      <c r="A26" s="247"/>
      <c r="B26" s="247"/>
      <c r="C26" s="354" t="s">
        <v>16</v>
      </c>
      <c r="D26" s="352" t="s">
        <v>613</v>
      </c>
      <c r="E26" s="346">
        <v>0</v>
      </c>
      <c r="F26" s="246"/>
      <c r="G26" s="245"/>
      <c r="H26" s="134" t="s">
        <v>15</v>
      </c>
      <c r="I26" s="134" t="s">
        <v>598</v>
      </c>
      <c r="J26" s="134" t="s">
        <v>207</v>
      </c>
      <c r="K26" s="134" t="s">
        <v>190</v>
      </c>
      <c r="L26" s="134">
        <v>25</v>
      </c>
      <c r="M26" s="134">
        <v>122</v>
      </c>
      <c r="N26" s="134">
        <v>200</v>
      </c>
      <c r="O26" s="134">
        <v>45000</v>
      </c>
      <c r="P26" s="134">
        <v>32400</v>
      </c>
      <c r="Q26" s="134">
        <v>44000</v>
      </c>
      <c r="R26" s="134">
        <v>0.871</v>
      </c>
      <c r="S26" s="134" t="s">
        <v>115</v>
      </c>
      <c r="T26" s="348" t="s">
        <v>15</v>
      </c>
      <c r="U26" s="134" t="s">
        <v>598</v>
      </c>
      <c r="V26" s="348" t="s">
        <v>206</v>
      </c>
      <c r="W26" s="349">
        <v>0.7</v>
      </c>
      <c r="X26" s="349">
        <v>0</v>
      </c>
      <c r="Y26" s="349">
        <v>0</v>
      </c>
      <c r="Z26" s="349">
        <v>0</v>
      </c>
      <c r="AA26" s="349">
        <v>0.3</v>
      </c>
      <c r="AB26" s="349">
        <v>0.1</v>
      </c>
      <c r="AC26" s="349">
        <v>0.8</v>
      </c>
    </row>
    <row r="27" spans="1:29" ht="16.2" thickBot="1" x14ac:dyDescent="0.35">
      <c r="A27" s="247"/>
      <c r="B27" s="247"/>
      <c r="C27" s="354" t="s">
        <v>16</v>
      </c>
      <c r="D27" s="351" t="s">
        <v>614</v>
      </c>
      <c r="E27" s="346">
        <v>0</v>
      </c>
      <c r="F27" s="246"/>
      <c r="G27" s="245"/>
      <c r="H27" s="134" t="s">
        <v>15</v>
      </c>
      <c r="I27" s="134" t="s">
        <v>600</v>
      </c>
      <c r="J27" s="134" t="s">
        <v>207</v>
      </c>
      <c r="K27" s="134" t="s">
        <v>206</v>
      </c>
      <c r="L27" s="134">
        <v>0</v>
      </c>
      <c r="M27" s="134">
        <v>6</v>
      </c>
      <c r="N27" s="134">
        <v>120</v>
      </c>
      <c r="O27" s="134">
        <v>1800</v>
      </c>
      <c r="P27" s="134">
        <v>0</v>
      </c>
      <c r="Q27" s="134">
        <v>30000</v>
      </c>
      <c r="R27" s="134">
        <v>0</v>
      </c>
      <c r="S27" s="134" t="s">
        <v>115</v>
      </c>
      <c r="T27" s="348" t="s">
        <v>15</v>
      </c>
      <c r="U27" s="134" t="s">
        <v>598</v>
      </c>
      <c r="V27" s="348" t="s">
        <v>198</v>
      </c>
      <c r="W27" s="349">
        <v>0.7</v>
      </c>
      <c r="X27" s="349">
        <v>0</v>
      </c>
      <c r="Y27" s="349">
        <v>0</v>
      </c>
      <c r="Z27" s="349">
        <v>0</v>
      </c>
      <c r="AA27" s="349">
        <v>0.3</v>
      </c>
      <c r="AB27" s="349">
        <v>0.1</v>
      </c>
      <c r="AC27" s="349">
        <v>0.8</v>
      </c>
    </row>
    <row r="28" spans="1:29" ht="16.2" thickBot="1" x14ac:dyDescent="0.35">
      <c r="A28" s="247"/>
      <c r="B28" s="247"/>
      <c r="C28" s="354" t="s">
        <v>16</v>
      </c>
      <c r="D28" s="351" t="s">
        <v>615</v>
      </c>
      <c r="E28" s="346">
        <v>0.28380952380952401</v>
      </c>
      <c r="F28" s="246"/>
      <c r="G28" s="245"/>
      <c r="H28" s="134" t="s">
        <v>15</v>
      </c>
      <c r="I28" s="134" t="s">
        <v>600</v>
      </c>
      <c r="J28" s="134" t="s">
        <v>207</v>
      </c>
      <c r="K28" s="134" t="s">
        <v>198</v>
      </c>
      <c r="L28" s="134">
        <v>0</v>
      </c>
      <c r="M28" s="134">
        <v>6</v>
      </c>
      <c r="N28" s="134">
        <v>120</v>
      </c>
      <c r="O28" s="134">
        <v>1800</v>
      </c>
      <c r="P28" s="134">
        <v>0</v>
      </c>
      <c r="Q28" s="134">
        <v>30000</v>
      </c>
      <c r="R28" s="134">
        <v>0</v>
      </c>
      <c r="S28" s="134" t="s">
        <v>115</v>
      </c>
      <c r="T28" s="348" t="s">
        <v>15</v>
      </c>
      <c r="U28" s="134" t="s">
        <v>598</v>
      </c>
      <c r="V28" s="348" t="s">
        <v>190</v>
      </c>
      <c r="W28" s="349">
        <v>0.7</v>
      </c>
      <c r="X28" s="349">
        <v>0</v>
      </c>
      <c r="Y28" s="349">
        <v>0</v>
      </c>
      <c r="Z28" s="349">
        <v>0</v>
      </c>
      <c r="AA28" s="349">
        <v>0.3</v>
      </c>
      <c r="AB28" s="349">
        <v>0.1</v>
      </c>
      <c r="AC28" s="349">
        <v>0.8</v>
      </c>
    </row>
    <row r="29" spans="1:29" ht="16.2" thickBot="1" x14ac:dyDescent="0.35">
      <c r="A29" s="247"/>
      <c r="B29" s="247"/>
      <c r="C29" s="354" t="s">
        <v>16</v>
      </c>
      <c r="D29" s="134" t="s">
        <v>616</v>
      </c>
      <c r="E29" s="346">
        <v>0.28238095238095201</v>
      </c>
      <c r="F29" s="246"/>
      <c r="G29" s="245"/>
      <c r="H29" s="134" t="s">
        <v>15</v>
      </c>
      <c r="I29" s="134" t="s">
        <v>600</v>
      </c>
      <c r="J29" s="134" t="s">
        <v>207</v>
      </c>
      <c r="K29" s="134" t="s">
        <v>190</v>
      </c>
      <c r="L29" s="134">
        <v>0</v>
      </c>
      <c r="M29" s="134">
        <v>6</v>
      </c>
      <c r="N29" s="134">
        <v>120</v>
      </c>
      <c r="O29" s="134">
        <v>1800</v>
      </c>
      <c r="P29" s="134">
        <v>0</v>
      </c>
      <c r="Q29" s="134">
        <v>30000</v>
      </c>
      <c r="R29" s="134">
        <v>1.6E-2</v>
      </c>
      <c r="S29" s="134" t="s">
        <v>115</v>
      </c>
      <c r="T29" s="348" t="s">
        <v>15</v>
      </c>
      <c r="U29" s="134" t="s">
        <v>600</v>
      </c>
      <c r="V29" s="348" t="s">
        <v>206</v>
      </c>
      <c r="W29" s="349">
        <v>10</v>
      </c>
      <c r="X29" s="349">
        <v>2</v>
      </c>
      <c r="Y29" s="349">
        <v>0</v>
      </c>
      <c r="Z29" s="349">
        <v>0</v>
      </c>
      <c r="AA29" s="349">
        <v>2</v>
      </c>
      <c r="AB29" s="349">
        <v>0.5</v>
      </c>
      <c r="AC29" s="349">
        <v>3</v>
      </c>
    </row>
    <row r="30" spans="1:29" ht="16.2" thickBot="1" x14ac:dyDescent="0.35">
      <c r="A30" s="247"/>
      <c r="B30" s="247"/>
      <c r="C30" s="354" t="s">
        <v>16</v>
      </c>
      <c r="D30" s="345" t="s">
        <v>617</v>
      </c>
      <c r="E30" s="346">
        <v>0.28095238095238101</v>
      </c>
      <c r="F30" s="246"/>
      <c r="G30" s="245"/>
      <c r="H30" s="134" t="s">
        <v>15</v>
      </c>
      <c r="I30" s="134" t="s">
        <v>603</v>
      </c>
      <c r="J30" s="134" t="s">
        <v>199</v>
      </c>
      <c r="K30" s="134" t="s">
        <v>206</v>
      </c>
      <c r="L30" s="134">
        <v>25</v>
      </c>
      <c r="M30" s="134">
        <v>0</v>
      </c>
      <c r="N30" s="134">
        <v>6000</v>
      </c>
      <c r="O30" s="134">
        <v>25000</v>
      </c>
      <c r="P30" s="134">
        <v>35000</v>
      </c>
      <c r="Q30" s="134">
        <v>26600</v>
      </c>
      <c r="R30" s="134">
        <v>0</v>
      </c>
      <c r="S30" s="134" t="s">
        <v>115</v>
      </c>
      <c r="T30" s="348" t="s">
        <v>15</v>
      </c>
      <c r="U30" s="134" t="s">
        <v>600</v>
      </c>
      <c r="V30" s="348" t="s">
        <v>198</v>
      </c>
      <c r="W30" s="349">
        <v>10</v>
      </c>
      <c r="X30" s="349">
        <v>2</v>
      </c>
      <c r="Y30" s="349">
        <v>0</v>
      </c>
      <c r="Z30" s="349">
        <v>0</v>
      </c>
      <c r="AA30" s="349">
        <v>2</v>
      </c>
      <c r="AB30" s="349">
        <v>0.5</v>
      </c>
      <c r="AC30" s="349">
        <v>3</v>
      </c>
    </row>
    <row r="31" spans="1:29" ht="16.2" thickBot="1" x14ac:dyDescent="0.35">
      <c r="A31" s="247"/>
      <c r="B31" s="247"/>
      <c r="C31" s="354" t="s">
        <v>16</v>
      </c>
      <c r="D31" s="353" t="s">
        <v>618</v>
      </c>
      <c r="E31" s="346">
        <v>0.27952380952381001</v>
      </c>
      <c r="F31" s="246"/>
      <c r="G31" s="245"/>
      <c r="H31" s="134" t="s">
        <v>15</v>
      </c>
      <c r="I31" s="134" t="s">
        <v>603</v>
      </c>
      <c r="J31" s="134" t="s">
        <v>199</v>
      </c>
      <c r="K31" s="134" t="s">
        <v>198</v>
      </c>
      <c r="L31" s="134">
        <v>25</v>
      </c>
      <c r="M31" s="134">
        <v>62.8</v>
      </c>
      <c r="N31" s="134">
        <v>6000</v>
      </c>
      <c r="O31" s="134">
        <v>50000</v>
      </c>
      <c r="P31" s="134">
        <v>70000</v>
      </c>
      <c r="Q31" s="134">
        <v>38400</v>
      </c>
      <c r="R31" s="134">
        <v>0</v>
      </c>
      <c r="S31" s="134" t="s">
        <v>115</v>
      </c>
      <c r="T31" s="348" t="s">
        <v>15</v>
      </c>
      <c r="U31" s="134" t="s">
        <v>600</v>
      </c>
      <c r="V31" s="348" t="s">
        <v>190</v>
      </c>
      <c r="W31" s="349">
        <v>10</v>
      </c>
      <c r="X31" s="349">
        <v>2</v>
      </c>
      <c r="Y31" s="349">
        <v>0</v>
      </c>
      <c r="Z31" s="349">
        <v>0</v>
      </c>
      <c r="AA31" s="349">
        <v>2</v>
      </c>
      <c r="AB31" s="349">
        <v>0.5</v>
      </c>
      <c r="AC31" s="349">
        <v>3</v>
      </c>
    </row>
    <row r="32" spans="1:29" ht="16.2" thickBot="1" x14ac:dyDescent="0.35">
      <c r="A32" s="247"/>
      <c r="B32" s="247"/>
      <c r="C32" s="354" t="s">
        <v>16</v>
      </c>
      <c r="D32" s="350" t="s">
        <v>619</v>
      </c>
      <c r="E32" s="346">
        <v>0.27809523809523801</v>
      </c>
      <c r="F32" s="246"/>
      <c r="G32" s="245"/>
      <c r="H32" s="134" t="s">
        <v>15</v>
      </c>
      <c r="I32" s="134" t="s">
        <v>603</v>
      </c>
      <c r="J32" s="134" t="s">
        <v>199</v>
      </c>
      <c r="K32" s="134" t="s">
        <v>190</v>
      </c>
      <c r="L32" s="134">
        <v>25</v>
      </c>
      <c r="M32" s="134">
        <v>92.2</v>
      </c>
      <c r="N32" s="134">
        <v>6000</v>
      </c>
      <c r="O32" s="134">
        <v>80000</v>
      </c>
      <c r="P32" s="134">
        <v>112000</v>
      </c>
      <c r="Q32" s="134">
        <v>40500</v>
      </c>
      <c r="R32" s="134">
        <v>0.25800000000000001</v>
      </c>
      <c r="S32" s="134" t="s">
        <v>115</v>
      </c>
      <c r="T32" s="348" t="s">
        <v>15</v>
      </c>
      <c r="U32" s="134" t="s">
        <v>603</v>
      </c>
      <c r="V32" s="348" t="s">
        <v>206</v>
      </c>
      <c r="W32" s="349">
        <v>0.6</v>
      </c>
      <c r="X32" s="349">
        <v>0</v>
      </c>
      <c r="Y32" s="349">
        <v>0</v>
      </c>
      <c r="Z32" s="349">
        <v>0</v>
      </c>
      <c r="AA32" s="349">
        <v>0.2</v>
      </c>
      <c r="AB32" s="349">
        <v>0.1</v>
      </c>
      <c r="AC32" s="349">
        <v>0.8</v>
      </c>
    </row>
    <row r="33" spans="1:29" ht="16.2" thickBot="1" x14ac:dyDescent="0.35">
      <c r="A33" s="247"/>
      <c r="B33" s="247"/>
      <c r="C33" s="354" t="s">
        <v>16</v>
      </c>
      <c r="D33" s="350" t="s">
        <v>620</v>
      </c>
      <c r="E33" s="346">
        <v>0.276666666666667</v>
      </c>
      <c r="F33" s="246"/>
      <c r="G33" s="245"/>
      <c r="H33" s="134" t="s">
        <v>15</v>
      </c>
      <c r="I33" s="134" t="s">
        <v>604</v>
      </c>
      <c r="J33" s="134" t="s">
        <v>207</v>
      </c>
      <c r="K33" s="134" t="s">
        <v>206</v>
      </c>
      <c r="L33" s="134">
        <v>7</v>
      </c>
      <c r="M33" s="134">
        <v>60</v>
      </c>
      <c r="N33" s="134">
        <v>25000</v>
      </c>
      <c r="O33" s="134">
        <v>7500</v>
      </c>
      <c r="P33" s="134">
        <v>0</v>
      </c>
      <c r="Q33" s="134">
        <v>0</v>
      </c>
      <c r="R33" s="134">
        <v>0</v>
      </c>
      <c r="S33" s="134" t="s">
        <v>115</v>
      </c>
      <c r="T33" s="348" t="s">
        <v>15</v>
      </c>
      <c r="U33" s="134" t="s">
        <v>603</v>
      </c>
      <c r="V33" s="348" t="s">
        <v>198</v>
      </c>
      <c r="W33" s="349">
        <v>0.7</v>
      </c>
      <c r="X33" s="349">
        <v>0</v>
      </c>
      <c r="Y33" s="349">
        <v>0</v>
      </c>
      <c r="Z33" s="349">
        <v>0</v>
      </c>
      <c r="AA33" s="349">
        <v>0.3</v>
      </c>
      <c r="AB33" s="349">
        <v>0.2</v>
      </c>
      <c r="AC33" s="349">
        <v>1</v>
      </c>
    </row>
    <row r="34" spans="1:29" ht="16.2" thickBot="1" x14ac:dyDescent="0.35">
      <c r="A34" s="247"/>
      <c r="B34" s="247"/>
      <c r="C34" s="354" t="s">
        <v>16</v>
      </c>
      <c r="D34" s="352" t="s">
        <v>621</v>
      </c>
      <c r="E34" s="346">
        <v>0</v>
      </c>
      <c r="F34" s="246"/>
      <c r="G34" s="245"/>
      <c r="H34" s="134" t="s">
        <v>15</v>
      </c>
      <c r="I34" s="134" t="s">
        <v>604</v>
      </c>
      <c r="J34" s="134" t="s">
        <v>207</v>
      </c>
      <c r="K34" s="134" t="s">
        <v>198</v>
      </c>
      <c r="L34" s="134">
        <v>7</v>
      </c>
      <c r="M34" s="134">
        <v>120</v>
      </c>
      <c r="N34" s="134">
        <v>25000</v>
      </c>
      <c r="O34" s="134">
        <v>10000</v>
      </c>
      <c r="P34" s="134">
        <v>0</v>
      </c>
      <c r="Q34" s="134">
        <v>0</v>
      </c>
      <c r="R34" s="134">
        <v>0</v>
      </c>
      <c r="S34" s="134" t="s">
        <v>115</v>
      </c>
      <c r="T34" s="355" t="s">
        <v>15</v>
      </c>
      <c r="U34" s="134" t="s">
        <v>603</v>
      </c>
      <c r="V34" s="348" t="s">
        <v>190</v>
      </c>
      <c r="W34" s="349">
        <v>0.7</v>
      </c>
      <c r="X34" s="349">
        <v>0</v>
      </c>
      <c r="Y34" s="349">
        <v>0</v>
      </c>
      <c r="Z34" s="349">
        <v>0</v>
      </c>
      <c r="AA34" s="349">
        <v>0.3</v>
      </c>
      <c r="AB34" s="349">
        <v>0.3</v>
      </c>
      <c r="AC34" s="349">
        <v>1.4</v>
      </c>
    </row>
    <row r="35" spans="1:29" ht="16.2" thickBot="1" x14ac:dyDescent="0.35">
      <c r="A35" s="247"/>
      <c r="B35" s="247"/>
      <c r="C35" s="354" t="s">
        <v>256</v>
      </c>
      <c r="D35" s="345" t="s">
        <v>606</v>
      </c>
      <c r="E35" s="356">
        <v>0.3</v>
      </c>
      <c r="F35" s="246"/>
      <c r="G35" s="245"/>
      <c r="H35" s="134" t="s">
        <v>15</v>
      </c>
      <c r="I35" s="134" t="s">
        <v>604</v>
      </c>
      <c r="J35" s="134" t="s">
        <v>207</v>
      </c>
      <c r="K35" s="134" t="s">
        <v>190</v>
      </c>
      <c r="L35" s="134">
        <v>7</v>
      </c>
      <c r="M35" s="134">
        <v>180</v>
      </c>
      <c r="N35" s="134">
        <v>25000</v>
      </c>
      <c r="O35" s="134">
        <v>15000</v>
      </c>
      <c r="P35" s="134">
        <v>0</v>
      </c>
      <c r="Q35" s="134">
        <v>107000</v>
      </c>
      <c r="R35" s="134">
        <v>0.28000000000000003</v>
      </c>
      <c r="S35" s="134" t="s">
        <v>115</v>
      </c>
      <c r="T35" s="355" t="s">
        <v>15</v>
      </c>
      <c r="U35" s="134" t="s">
        <v>604</v>
      </c>
      <c r="V35" s="348" t="s">
        <v>206</v>
      </c>
      <c r="W35" s="349">
        <v>15</v>
      </c>
      <c r="X35" s="349">
        <v>5</v>
      </c>
      <c r="Y35" s="349">
        <v>0</v>
      </c>
      <c r="Z35" s="349">
        <v>0</v>
      </c>
      <c r="AA35" s="349">
        <v>2</v>
      </c>
      <c r="AB35" s="349">
        <v>0.5</v>
      </c>
      <c r="AC35" s="349">
        <v>6</v>
      </c>
    </row>
    <row r="36" spans="1:29" ht="16.2" thickBot="1" x14ac:dyDescent="0.35">
      <c r="C36" s="354" t="s">
        <v>256</v>
      </c>
      <c r="D36" s="345" t="s">
        <v>607</v>
      </c>
      <c r="E36" s="356">
        <v>0.28999999999999998</v>
      </c>
      <c r="H36" s="134" t="s">
        <v>16</v>
      </c>
      <c r="I36" s="134" t="s">
        <v>592</v>
      </c>
      <c r="J36" s="134" t="s">
        <v>207</v>
      </c>
      <c r="K36" s="134" t="s">
        <v>206</v>
      </c>
      <c r="L36" s="134">
        <v>0</v>
      </c>
      <c r="M36" s="134">
        <v>6</v>
      </c>
      <c r="N36" s="134">
        <v>100</v>
      </c>
      <c r="O36" s="134">
        <v>2000</v>
      </c>
      <c r="P36" s="134" t="s">
        <v>97</v>
      </c>
      <c r="Q36" s="134">
        <v>40000</v>
      </c>
      <c r="R36" s="134">
        <v>1.2E-2</v>
      </c>
      <c r="S36" s="134" t="s">
        <v>115</v>
      </c>
      <c r="T36" s="355" t="s">
        <v>15</v>
      </c>
      <c r="U36" s="134" t="s">
        <v>604</v>
      </c>
      <c r="V36" s="348" t="s">
        <v>198</v>
      </c>
      <c r="W36" s="349">
        <v>15.1</v>
      </c>
      <c r="X36" s="349">
        <v>5</v>
      </c>
      <c r="Y36" s="349">
        <v>0</v>
      </c>
      <c r="Z36" s="349">
        <v>0</v>
      </c>
      <c r="AA36" s="349">
        <v>2</v>
      </c>
      <c r="AB36" s="349">
        <v>0.5</v>
      </c>
      <c r="AC36" s="349">
        <v>6</v>
      </c>
    </row>
    <row r="37" spans="1:29" ht="16.2" thickBot="1" x14ac:dyDescent="0.35">
      <c r="C37" s="354" t="s">
        <v>256</v>
      </c>
      <c r="D37" s="350" t="s">
        <v>609</v>
      </c>
      <c r="E37" s="356">
        <v>0.28999999999999998</v>
      </c>
      <c r="H37" s="134" t="s">
        <v>16</v>
      </c>
      <c r="I37" s="134" t="s">
        <v>592</v>
      </c>
      <c r="J37" s="134" t="s">
        <v>207</v>
      </c>
      <c r="K37" s="134" t="s">
        <v>198</v>
      </c>
      <c r="L37" s="134">
        <v>0</v>
      </c>
      <c r="M37" s="134">
        <v>6</v>
      </c>
      <c r="N37" s="134">
        <v>100</v>
      </c>
      <c r="O37" s="134">
        <v>2000</v>
      </c>
      <c r="P37" s="134">
        <v>0</v>
      </c>
      <c r="Q37" s="134">
        <v>40000</v>
      </c>
      <c r="R37" s="134">
        <v>0</v>
      </c>
      <c r="S37" s="134" t="s">
        <v>115</v>
      </c>
      <c r="T37" s="355" t="s">
        <v>15</v>
      </c>
      <c r="U37" s="348" t="s">
        <v>604</v>
      </c>
      <c r="V37" s="348" t="s">
        <v>190</v>
      </c>
      <c r="W37" s="349">
        <v>15</v>
      </c>
      <c r="X37" s="349">
        <v>5</v>
      </c>
      <c r="Y37" s="349">
        <v>0</v>
      </c>
      <c r="Z37" s="349">
        <v>0</v>
      </c>
      <c r="AA37" s="349">
        <v>2</v>
      </c>
      <c r="AB37" s="349">
        <v>0.5</v>
      </c>
      <c r="AC37" s="349">
        <v>6</v>
      </c>
    </row>
    <row r="38" spans="1:29" ht="16.2" thickBot="1" x14ac:dyDescent="0.35">
      <c r="C38" s="354" t="s">
        <v>256</v>
      </c>
      <c r="D38" s="134" t="s">
        <v>610</v>
      </c>
      <c r="E38" s="356">
        <v>0.28999999999999998</v>
      </c>
      <c r="H38" s="134" t="s">
        <v>16</v>
      </c>
      <c r="I38" s="134" t="s">
        <v>592</v>
      </c>
      <c r="J38" s="134" t="s">
        <v>207</v>
      </c>
      <c r="K38" s="134" t="s">
        <v>190</v>
      </c>
      <c r="L38" s="134">
        <v>0</v>
      </c>
      <c r="M38" s="134">
        <v>6</v>
      </c>
      <c r="N38" s="134">
        <v>100</v>
      </c>
      <c r="O38" s="134">
        <v>2000</v>
      </c>
      <c r="P38" s="134">
        <v>0</v>
      </c>
      <c r="Q38" s="134">
        <v>40000</v>
      </c>
      <c r="R38" s="134">
        <v>0</v>
      </c>
      <c r="S38" s="134" t="s">
        <v>115</v>
      </c>
      <c r="T38" s="355" t="s">
        <v>16</v>
      </c>
      <c r="U38" s="348" t="s">
        <v>592</v>
      </c>
      <c r="V38" s="348" t="s">
        <v>206</v>
      </c>
      <c r="W38" s="349">
        <v>10</v>
      </c>
      <c r="X38" s="349">
        <v>2</v>
      </c>
      <c r="Y38" s="349">
        <v>0</v>
      </c>
      <c r="Z38" s="349">
        <v>0</v>
      </c>
      <c r="AA38" s="349">
        <v>2</v>
      </c>
      <c r="AB38" s="349">
        <v>0.5</v>
      </c>
      <c r="AC38" s="349">
        <v>3</v>
      </c>
    </row>
    <row r="39" spans="1:29" ht="16.2" thickBot="1" x14ac:dyDescent="0.35">
      <c r="C39" s="354" t="s">
        <v>256</v>
      </c>
      <c r="D39" s="351" t="s">
        <v>612</v>
      </c>
      <c r="E39" s="356">
        <v>0.28999999999999998</v>
      </c>
      <c r="H39" s="134" t="s">
        <v>16</v>
      </c>
      <c r="I39" s="134" t="s">
        <v>594</v>
      </c>
      <c r="J39" s="134" t="s">
        <v>207</v>
      </c>
      <c r="K39" s="134" t="s">
        <v>206</v>
      </c>
      <c r="L39" s="134">
        <v>0</v>
      </c>
      <c r="M39" s="134">
        <v>6</v>
      </c>
      <c r="N39" s="134">
        <v>50</v>
      </c>
      <c r="O39" s="134">
        <v>1500</v>
      </c>
      <c r="P39" s="134">
        <v>0</v>
      </c>
      <c r="Q39" s="134">
        <v>40000</v>
      </c>
      <c r="R39" s="134">
        <v>1.6E-2</v>
      </c>
      <c r="S39" s="134" t="s">
        <v>115</v>
      </c>
      <c r="T39" s="355" t="s">
        <v>16</v>
      </c>
      <c r="U39" s="348" t="s">
        <v>592</v>
      </c>
      <c r="V39" s="348" t="s">
        <v>198</v>
      </c>
      <c r="W39" s="349">
        <v>10</v>
      </c>
      <c r="X39" s="349">
        <v>2</v>
      </c>
      <c r="Y39" s="349">
        <v>0</v>
      </c>
      <c r="Z39" s="349">
        <v>0</v>
      </c>
      <c r="AA39" s="349">
        <v>2</v>
      </c>
      <c r="AB39" s="349">
        <v>0.5</v>
      </c>
      <c r="AC39" s="349">
        <v>3</v>
      </c>
    </row>
    <row r="40" spans="1:29" ht="16.2" thickBot="1" x14ac:dyDescent="0.35">
      <c r="C40" s="354" t="s">
        <v>256</v>
      </c>
      <c r="D40" s="134" t="s">
        <v>112</v>
      </c>
      <c r="E40" s="356">
        <v>0.28999999999999998</v>
      </c>
      <c r="H40" s="134" t="s">
        <v>16</v>
      </c>
      <c r="I40" s="134" t="s">
        <v>594</v>
      </c>
      <c r="J40" s="134" t="s">
        <v>207</v>
      </c>
      <c r="K40" s="134" t="s">
        <v>198</v>
      </c>
      <c r="L40" s="134">
        <v>0</v>
      </c>
      <c r="M40" s="134">
        <v>6</v>
      </c>
      <c r="N40" s="134">
        <v>50</v>
      </c>
      <c r="O40" s="134">
        <v>1500</v>
      </c>
      <c r="P40" s="134">
        <v>0</v>
      </c>
      <c r="Q40" s="134">
        <v>40000</v>
      </c>
      <c r="R40" s="134">
        <v>0</v>
      </c>
      <c r="S40" s="134" t="s">
        <v>115</v>
      </c>
      <c r="T40" s="355" t="s">
        <v>16</v>
      </c>
      <c r="U40" s="348" t="s">
        <v>592</v>
      </c>
      <c r="V40" s="348" t="s">
        <v>190</v>
      </c>
      <c r="W40" s="349">
        <v>10</v>
      </c>
      <c r="X40" s="349">
        <v>2</v>
      </c>
      <c r="Y40" s="349">
        <v>0</v>
      </c>
      <c r="Z40" s="349">
        <v>0</v>
      </c>
      <c r="AA40" s="349">
        <v>2</v>
      </c>
      <c r="AB40" s="349">
        <v>0.5</v>
      </c>
      <c r="AC40" s="349">
        <v>3</v>
      </c>
    </row>
    <row r="41" spans="1:29" ht="16.2" thickBot="1" x14ac:dyDescent="0.35">
      <c r="C41" s="354" t="s">
        <v>256</v>
      </c>
      <c r="D41" s="352" t="s">
        <v>613</v>
      </c>
      <c r="E41" s="346">
        <v>0</v>
      </c>
      <c r="H41" s="134" t="s">
        <v>16</v>
      </c>
      <c r="I41" s="134" t="s">
        <v>594</v>
      </c>
      <c r="J41" s="134" t="s">
        <v>207</v>
      </c>
      <c r="K41" s="134" t="s">
        <v>190</v>
      </c>
      <c r="L41" s="134">
        <v>0</v>
      </c>
      <c r="M41" s="134">
        <v>6</v>
      </c>
      <c r="N41" s="134">
        <v>50</v>
      </c>
      <c r="O41" s="134">
        <v>1500</v>
      </c>
      <c r="P41" s="134">
        <v>0</v>
      </c>
      <c r="Q41" s="134">
        <v>40000</v>
      </c>
      <c r="R41" s="134">
        <v>0</v>
      </c>
      <c r="S41" s="134" t="s">
        <v>115</v>
      </c>
      <c r="T41" s="355" t="s">
        <v>16</v>
      </c>
      <c r="U41" s="348" t="s">
        <v>594</v>
      </c>
      <c r="V41" s="348" t="s">
        <v>206</v>
      </c>
      <c r="W41" s="349">
        <v>6</v>
      </c>
      <c r="X41" s="349">
        <v>1</v>
      </c>
      <c r="Y41" s="349">
        <v>0</v>
      </c>
      <c r="Z41" s="349">
        <v>0</v>
      </c>
      <c r="AA41" s="349">
        <v>1.5</v>
      </c>
      <c r="AB41" s="349">
        <v>0.2</v>
      </c>
      <c r="AC41" s="349">
        <v>1.5</v>
      </c>
    </row>
    <row r="42" spans="1:29" ht="16.2" thickBot="1" x14ac:dyDescent="0.35">
      <c r="C42" s="354" t="s">
        <v>256</v>
      </c>
      <c r="D42" s="351" t="s">
        <v>614</v>
      </c>
      <c r="E42" s="356">
        <v>0.28523809523809501</v>
      </c>
      <c r="H42" s="134" t="s">
        <v>16</v>
      </c>
      <c r="I42" s="134" t="s">
        <v>596</v>
      </c>
      <c r="J42" s="134" t="s">
        <v>207</v>
      </c>
      <c r="K42" s="134" t="s">
        <v>206</v>
      </c>
      <c r="L42" s="134">
        <v>0</v>
      </c>
      <c r="M42" s="134">
        <v>0</v>
      </c>
      <c r="N42" s="134">
        <v>300</v>
      </c>
      <c r="O42" s="134">
        <v>1400</v>
      </c>
      <c r="P42" s="134">
        <v>0</v>
      </c>
      <c r="Q42" s="134">
        <v>0</v>
      </c>
      <c r="R42" s="134">
        <v>0.01</v>
      </c>
      <c r="S42" s="134" t="s">
        <v>115</v>
      </c>
      <c r="T42" s="355" t="s">
        <v>16</v>
      </c>
      <c r="U42" s="348" t="s">
        <v>594</v>
      </c>
      <c r="V42" s="348" t="s">
        <v>198</v>
      </c>
      <c r="W42" s="349">
        <v>6</v>
      </c>
      <c r="X42" s="349">
        <v>1</v>
      </c>
      <c r="Y42" s="349">
        <v>0</v>
      </c>
      <c r="Z42" s="349">
        <v>0</v>
      </c>
      <c r="AA42" s="349">
        <v>1.5</v>
      </c>
      <c r="AB42" s="349">
        <v>0.2</v>
      </c>
      <c r="AC42" s="349">
        <v>1.5</v>
      </c>
    </row>
    <row r="43" spans="1:29" ht="16.2" thickBot="1" x14ac:dyDescent="0.35">
      <c r="C43" s="354" t="s">
        <v>256</v>
      </c>
      <c r="D43" s="351" t="s">
        <v>615</v>
      </c>
      <c r="E43" s="346">
        <v>0</v>
      </c>
      <c r="H43" s="134" t="s">
        <v>16</v>
      </c>
      <c r="I43" s="134" t="s">
        <v>596</v>
      </c>
      <c r="J43" s="134" t="s">
        <v>207</v>
      </c>
      <c r="K43" s="134" t="s">
        <v>198</v>
      </c>
      <c r="L43" s="134">
        <v>0</v>
      </c>
      <c r="M43" s="134">
        <v>0</v>
      </c>
      <c r="N43" s="134">
        <v>300</v>
      </c>
      <c r="O43" s="134">
        <v>2100</v>
      </c>
      <c r="P43" s="134">
        <v>0</v>
      </c>
      <c r="Q43" s="134" t="s">
        <v>97</v>
      </c>
      <c r="R43" s="134">
        <v>0</v>
      </c>
      <c r="S43" s="134" t="s">
        <v>115</v>
      </c>
      <c r="T43" s="355" t="s">
        <v>16</v>
      </c>
      <c r="U43" s="348" t="s">
        <v>594</v>
      </c>
      <c r="V43" s="348" t="s">
        <v>190</v>
      </c>
      <c r="W43" s="349">
        <v>6</v>
      </c>
      <c r="X43" s="349">
        <v>1</v>
      </c>
      <c r="Y43" s="349">
        <v>0</v>
      </c>
      <c r="Z43" s="349">
        <v>0</v>
      </c>
      <c r="AA43" s="349">
        <v>1.5</v>
      </c>
      <c r="AB43" s="349">
        <v>0.2</v>
      </c>
      <c r="AC43" s="349">
        <v>1.5</v>
      </c>
    </row>
    <row r="44" spans="1:29" ht="16.2" thickBot="1" x14ac:dyDescent="0.35">
      <c r="C44" s="354" t="s">
        <v>256</v>
      </c>
      <c r="D44" s="134" t="s">
        <v>616</v>
      </c>
      <c r="E44" s="346">
        <v>0</v>
      </c>
      <c r="H44" s="134" t="s">
        <v>16</v>
      </c>
      <c r="I44" s="134" t="s">
        <v>596</v>
      </c>
      <c r="J44" s="134" t="s">
        <v>207</v>
      </c>
      <c r="K44" s="134" t="s">
        <v>190</v>
      </c>
      <c r="L44" s="134">
        <v>0</v>
      </c>
      <c r="M44" s="134">
        <v>0</v>
      </c>
      <c r="N44" s="134">
        <v>300</v>
      </c>
      <c r="O44" s="134">
        <v>3000</v>
      </c>
      <c r="P44" s="134">
        <v>0</v>
      </c>
      <c r="Q44" s="134">
        <v>0</v>
      </c>
      <c r="R44" s="134">
        <v>0</v>
      </c>
      <c r="S44" s="134" t="s">
        <v>115</v>
      </c>
      <c r="T44" s="355" t="s">
        <v>16</v>
      </c>
      <c r="U44" s="134" t="s">
        <v>596</v>
      </c>
      <c r="V44" s="348" t="s">
        <v>206</v>
      </c>
      <c r="W44" s="349">
        <v>3</v>
      </c>
      <c r="X44" s="349">
        <v>0</v>
      </c>
      <c r="Y44" s="349">
        <v>2</v>
      </c>
      <c r="Z44" s="349">
        <v>0</v>
      </c>
      <c r="AA44" s="349">
        <v>0</v>
      </c>
      <c r="AB44" s="349">
        <v>0</v>
      </c>
      <c r="AC44" s="349">
        <v>2</v>
      </c>
    </row>
    <row r="45" spans="1:29" ht="16.2" thickBot="1" x14ac:dyDescent="0.35">
      <c r="C45" s="354" t="s">
        <v>256</v>
      </c>
      <c r="D45" s="345" t="s">
        <v>617</v>
      </c>
      <c r="E45" s="346">
        <v>0</v>
      </c>
      <c r="H45" s="134" t="s">
        <v>16</v>
      </c>
      <c r="I45" s="134" t="s">
        <v>599</v>
      </c>
      <c r="J45" s="134" t="s">
        <v>199</v>
      </c>
      <c r="K45" s="134" t="s">
        <v>206</v>
      </c>
      <c r="L45" s="134">
        <v>0</v>
      </c>
      <c r="M45" s="134">
        <v>0</v>
      </c>
      <c r="N45" s="134">
        <v>600000</v>
      </c>
      <c r="O45" s="134">
        <v>5000</v>
      </c>
      <c r="P45" s="134">
        <v>0</v>
      </c>
      <c r="Q45" s="134">
        <v>0</v>
      </c>
      <c r="R45" s="134">
        <v>0</v>
      </c>
      <c r="S45" s="134" t="s">
        <v>115</v>
      </c>
      <c r="T45" s="355" t="s">
        <v>16</v>
      </c>
      <c r="U45" s="134" t="s">
        <v>596</v>
      </c>
      <c r="V45" s="348" t="s">
        <v>198</v>
      </c>
      <c r="W45" s="349">
        <v>3</v>
      </c>
      <c r="X45" s="349">
        <v>0</v>
      </c>
      <c r="Y45" s="349">
        <v>2</v>
      </c>
      <c r="Z45" s="349">
        <v>2</v>
      </c>
      <c r="AA45" s="349">
        <v>0</v>
      </c>
      <c r="AB45" s="349">
        <v>0</v>
      </c>
      <c r="AC45" s="349">
        <v>2</v>
      </c>
    </row>
    <row r="46" spans="1:29" ht="16.2" thickBot="1" x14ac:dyDescent="0.35">
      <c r="C46" s="354" t="s">
        <v>256</v>
      </c>
      <c r="D46" s="353" t="s">
        <v>618</v>
      </c>
      <c r="E46" s="356">
        <v>0.27952380952381001</v>
      </c>
      <c r="H46" s="134" t="s">
        <v>16</v>
      </c>
      <c r="I46" s="134" t="s">
        <v>599</v>
      </c>
      <c r="J46" s="134" t="s">
        <v>199</v>
      </c>
      <c r="K46" s="134" t="s">
        <v>198</v>
      </c>
      <c r="L46" s="134">
        <v>0</v>
      </c>
      <c r="M46" s="134">
        <v>7.5</v>
      </c>
      <c r="N46" s="134">
        <v>600000</v>
      </c>
      <c r="O46" s="134">
        <v>7500</v>
      </c>
      <c r="P46" s="134">
        <v>0</v>
      </c>
      <c r="Q46" s="134">
        <v>0</v>
      </c>
      <c r="R46" s="134">
        <v>0</v>
      </c>
      <c r="S46" s="134" t="s">
        <v>115</v>
      </c>
      <c r="T46" s="355" t="s">
        <v>16</v>
      </c>
      <c r="U46" s="134" t="s">
        <v>596</v>
      </c>
      <c r="V46" s="348" t="s">
        <v>190</v>
      </c>
      <c r="W46" s="349">
        <v>3</v>
      </c>
      <c r="X46" s="349">
        <v>0</v>
      </c>
      <c r="Y46" s="349">
        <v>2</v>
      </c>
      <c r="Z46" s="349">
        <v>2</v>
      </c>
      <c r="AA46" s="349">
        <v>0</v>
      </c>
      <c r="AB46" s="349">
        <v>0</v>
      </c>
      <c r="AC46" s="349">
        <v>4</v>
      </c>
    </row>
    <row r="47" spans="1:29" ht="16.2" thickBot="1" x14ac:dyDescent="0.35">
      <c r="C47" s="354" t="s">
        <v>256</v>
      </c>
      <c r="D47" s="350" t="s">
        <v>619</v>
      </c>
      <c r="E47" s="346">
        <v>0</v>
      </c>
      <c r="H47" s="134" t="s">
        <v>16</v>
      </c>
      <c r="I47" s="134" t="s">
        <v>599</v>
      </c>
      <c r="J47" s="134" t="s">
        <v>199</v>
      </c>
      <c r="K47" s="134" t="s">
        <v>190</v>
      </c>
      <c r="L47" s="134">
        <v>0</v>
      </c>
      <c r="M47" s="134">
        <v>15</v>
      </c>
      <c r="N47" s="134">
        <v>600000</v>
      </c>
      <c r="O47" s="134">
        <v>20000</v>
      </c>
      <c r="P47" s="134">
        <v>0</v>
      </c>
      <c r="Q47" s="134">
        <v>0</v>
      </c>
      <c r="R47" s="134">
        <v>0.02</v>
      </c>
      <c r="S47" s="134" t="s">
        <v>115</v>
      </c>
      <c r="T47" s="355" t="s">
        <v>16</v>
      </c>
      <c r="U47" s="134" t="s">
        <v>599</v>
      </c>
      <c r="V47" s="348" t="s">
        <v>206</v>
      </c>
      <c r="W47" s="349">
        <v>10</v>
      </c>
      <c r="X47" s="349">
        <v>2</v>
      </c>
      <c r="Y47" s="349">
        <v>0</v>
      </c>
      <c r="Z47" s="349">
        <v>0</v>
      </c>
      <c r="AA47" s="349">
        <v>2</v>
      </c>
      <c r="AB47" s="349">
        <v>0</v>
      </c>
      <c r="AC47" s="349">
        <v>3</v>
      </c>
    </row>
    <row r="48" spans="1:29" ht="16.2" thickBot="1" x14ac:dyDescent="0.35">
      <c r="C48" s="354" t="s">
        <v>256</v>
      </c>
      <c r="D48" s="350" t="s">
        <v>620</v>
      </c>
      <c r="E48" s="346">
        <v>0</v>
      </c>
      <c r="H48" s="134" t="s">
        <v>16</v>
      </c>
      <c r="I48" s="134" t="s">
        <v>601</v>
      </c>
      <c r="J48" s="134" t="s">
        <v>199</v>
      </c>
      <c r="K48" s="134" t="s">
        <v>206</v>
      </c>
      <c r="L48" s="134">
        <v>0</v>
      </c>
      <c r="M48" s="134">
        <v>0</v>
      </c>
      <c r="N48" s="134">
        <v>2200</v>
      </c>
      <c r="O48" s="134">
        <v>7500</v>
      </c>
      <c r="P48" s="134">
        <v>0</v>
      </c>
      <c r="Q48" s="134">
        <v>0</v>
      </c>
      <c r="R48" s="134">
        <v>0</v>
      </c>
      <c r="S48" s="134" t="s">
        <v>115</v>
      </c>
      <c r="T48" s="355" t="s">
        <v>16</v>
      </c>
      <c r="U48" s="134" t="s">
        <v>599</v>
      </c>
      <c r="V48" s="348" t="s">
        <v>198</v>
      </c>
      <c r="W48" s="349">
        <v>10</v>
      </c>
      <c r="X48" s="349">
        <v>2</v>
      </c>
      <c r="Y48" s="349">
        <v>0</v>
      </c>
      <c r="Z48" s="349">
        <v>0</v>
      </c>
      <c r="AA48" s="349">
        <v>2</v>
      </c>
      <c r="AB48" s="349">
        <v>0</v>
      </c>
      <c r="AC48" s="349">
        <v>3</v>
      </c>
    </row>
    <row r="49" spans="3:29" ht="16.2" thickBot="1" x14ac:dyDescent="0.35">
      <c r="C49" s="354" t="s">
        <v>256</v>
      </c>
      <c r="D49" s="352" t="s">
        <v>621</v>
      </c>
      <c r="E49" s="346">
        <v>0</v>
      </c>
      <c r="H49" s="134" t="s">
        <v>16</v>
      </c>
      <c r="I49" s="134" t="s">
        <v>601</v>
      </c>
      <c r="J49" s="134" t="s">
        <v>199</v>
      </c>
      <c r="K49" s="134" t="s">
        <v>198</v>
      </c>
      <c r="L49" s="134">
        <v>0</v>
      </c>
      <c r="M49" s="134">
        <v>60</v>
      </c>
      <c r="N49" s="134">
        <v>2200</v>
      </c>
      <c r="O49" s="134">
        <v>10000</v>
      </c>
      <c r="P49" s="134">
        <v>0</v>
      </c>
      <c r="Q49" s="134">
        <v>0</v>
      </c>
      <c r="R49" s="134">
        <v>0</v>
      </c>
      <c r="S49" s="134" t="s">
        <v>115</v>
      </c>
      <c r="T49" s="355" t="s">
        <v>16</v>
      </c>
      <c r="U49" s="134" t="s">
        <v>599</v>
      </c>
      <c r="V49" s="348" t="s">
        <v>190</v>
      </c>
      <c r="W49" s="349">
        <v>10</v>
      </c>
      <c r="X49" s="349">
        <v>2</v>
      </c>
      <c r="Y49" s="349">
        <v>0</v>
      </c>
      <c r="Z49" s="349">
        <v>0</v>
      </c>
      <c r="AA49" s="349">
        <v>2</v>
      </c>
      <c r="AB49" s="349">
        <v>0</v>
      </c>
      <c r="AC49" s="349">
        <v>3</v>
      </c>
    </row>
    <row r="50" spans="3:29" ht="16.2" thickBot="1" x14ac:dyDescent="0.35">
      <c r="C50" s="354" t="s">
        <v>255</v>
      </c>
      <c r="D50" s="345" t="s">
        <v>606</v>
      </c>
      <c r="E50" s="356">
        <v>0.3</v>
      </c>
      <c r="H50" s="134" t="s">
        <v>16</v>
      </c>
      <c r="I50" s="134" t="s">
        <v>601</v>
      </c>
      <c r="J50" s="134" t="s">
        <v>199</v>
      </c>
      <c r="K50" s="134" t="s">
        <v>190</v>
      </c>
      <c r="L50" s="134">
        <v>0</v>
      </c>
      <c r="M50" s="134">
        <v>120</v>
      </c>
      <c r="N50" s="134">
        <v>2200</v>
      </c>
      <c r="O50" s="134">
        <v>15000</v>
      </c>
      <c r="P50" s="134">
        <v>0</v>
      </c>
      <c r="Q50" s="134">
        <v>50000</v>
      </c>
      <c r="R50" s="134">
        <v>0.01</v>
      </c>
      <c r="S50" s="134" t="s">
        <v>115</v>
      </c>
      <c r="T50" s="355" t="s">
        <v>16</v>
      </c>
      <c r="U50" s="134" t="s">
        <v>601</v>
      </c>
      <c r="V50" s="348" t="s">
        <v>206</v>
      </c>
      <c r="W50" s="349">
        <v>15</v>
      </c>
      <c r="X50" s="349">
        <v>4.5</v>
      </c>
      <c r="Y50" s="349">
        <v>0</v>
      </c>
      <c r="Z50" s="349">
        <v>0</v>
      </c>
      <c r="AA50" s="349">
        <v>2</v>
      </c>
      <c r="AB50" s="349">
        <v>0</v>
      </c>
      <c r="AC50" s="349">
        <v>1</v>
      </c>
    </row>
    <row r="51" spans="3:29" ht="16.2" thickBot="1" x14ac:dyDescent="0.35">
      <c r="C51" s="354" t="s">
        <v>255</v>
      </c>
      <c r="D51" s="345" t="s">
        <v>607</v>
      </c>
      <c r="E51" s="356">
        <v>0.28999999999999998</v>
      </c>
      <c r="H51" s="134" t="s">
        <v>16</v>
      </c>
      <c r="I51" s="134" t="s">
        <v>604</v>
      </c>
      <c r="J51" s="134" t="s">
        <v>207</v>
      </c>
      <c r="K51" s="134" t="s">
        <v>206</v>
      </c>
      <c r="L51" s="134">
        <v>0</v>
      </c>
      <c r="M51" s="134">
        <v>60</v>
      </c>
      <c r="N51" s="134">
        <v>100000</v>
      </c>
      <c r="O51" s="134">
        <v>7500</v>
      </c>
      <c r="P51" s="134">
        <v>0</v>
      </c>
      <c r="Q51" s="134">
        <v>0</v>
      </c>
      <c r="R51" s="134">
        <v>0.01</v>
      </c>
      <c r="S51" s="134" t="s">
        <v>115</v>
      </c>
      <c r="T51" s="355" t="s">
        <v>16</v>
      </c>
      <c r="U51" s="134" t="s">
        <v>601</v>
      </c>
      <c r="V51" s="348" t="s">
        <v>198</v>
      </c>
      <c r="W51" s="349">
        <v>15</v>
      </c>
      <c r="X51" s="349">
        <v>4.5</v>
      </c>
      <c r="Y51" s="349">
        <v>0</v>
      </c>
      <c r="Z51" s="349">
        <v>0</v>
      </c>
      <c r="AA51" s="349">
        <v>2</v>
      </c>
      <c r="AB51" s="349">
        <v>0</v>
      </c>
      <c r="AC51" s="349">
        <v>1</v>
      </c>
    </row>
    <row r="52" spans="3:29" ht="16.2" thickBot="1" x14ac:dyDescent="0.35">
      <c r="C52" s="354" t="s">
        <v>255</v>
      </c>
      <c r="D52" s="350" t="s">
        <v>609</v>
      </c>
      <c r="E52" s="356">
        <v>0.28999999999999998</v>
      </c>
      <c r="H52" s="134" t="s">
        <v>16</v>
      </c>
      <c r="I52" s="134" t="s">
        <v>604</v>
      </c>
      <c r="J52" s="134" t="s">
        <v>207</v>
      </c>
      <c r="K52" s="134" t="s">
        <v>198</v>
      </c>
      <c r="L52" s="134">
        <v>0</v>
      </c>
      <c r="M52" s="134">
        <v>60</v>
      </c>
      <c r="N52" s="134">
        <v>100000</v>
      </c>
      <c r="O52" s="134">
        <v>7500</v>
      </c>
      <c r="P52" s="134">
        <v>0</v>
      </c>
      <c r="Q52" s="134">
        <v>0</v>
      </c>
      <c r="R52" s="134">
        <v>0</v>
      </c>
      <c r="S52" s="134" t="s">
        <v>115</v>
      </c>
      <c r="T52" s="355" t="s">
        <v>16</v>
      </c>
      <c r="U52" s="134" t="s">
        <v>601</v>
      </c>
      <c r="V52" s="348" t="s">
        <v>190</v>
      </c>
      <c r="W52" s="349">
        <v>15</v>
      </c>
      <c r="X52" s="349">
        <v>4.5</v>
      </c>
      <c r="Y52" s="349">
        <v>0</v>
      </c>
      <c r="Z52" s="349">
        <v>0</v>
      </c>
      <c r="AA52" s="349">
        <v>2</v>
      </c>
      <c r="AB52" s="349">
        <v>0.5</v>
      </c>
      <c r="AC52" s="349">
        <v>1</v>
      </c>
    </row>
    <row r="53" spans="3:29" ht="16.2" thickBot="1" x14ac:dyDescent="0.35">
      <c r="C53" s="354" t="s">
        <v>255</v>
      </c>
      <c r="D53" s="134" t="s">
        <v>610</v>
      </c>
      <c r="E53" s="346">
        <v>0</v>
      </c>
      <c r="H53" s="134" t="s">
        <v>16</v>
      </c>
      <c r="I53" s="134" t="s">
        <v>604</v>
      </c>
      <c r="J53" s="134" t="s">
        <v>207</v>
      </c>
      <c r="K53" s="134" t="s">
        <v>190</v>
      </c>
      <c r="L53" s="134">
        <v>0</v>
      </c>
      <c r="M53" s="134">
        <v>60</v>
      </c>
      <c r="N53" s="134">
        <v>100000</v>
      </c>
      <c r="O53" s="134">
        <v>7500</v>
      </c>
      <c r="P53" s="134">
        <v>0</v>
      </c>
      <c r="Q53" s="134">
        <v>0</v>
      </c>
      <c r="R53" s="134">
        <v>0</v>
      </c>
      <c r="S53" s="134" t="s">
        <v>115</v>
      </c>
      <c r="T53" s="355" t="s">
        <v>16</v>
      </c>
      <c r="U53" s="134" t="s">
        <v>604</v>
      </c>
      <c r="V53" s="348" t="s">
        <v>206</v>
      </c>
      <c r="W53" s="349">
        <v>14.5</v>
      </c>
      <c r="X53" s="349">
        <v>4.5</v>
      </c>
      <c r="Y53" s="349">
        <v>0</v>
      </c>
      <c r="Z53" s="349">
        <v>0</v>
      </c>
      <c r="AA53" s="349">
        <v>2</v>
      </c>
      <c r="AB53" s="349">
        <v>0</v>
      </c>
      <c r="AC53" s="349">
        <v>2</v>
      </c>
    </row>
    <row r="54" spans="3:29" ht="16.2" thickBot="1" x14ac:dyDescent="0.35">
      <c r="C54" s="354" t="s">
        <v>255</v>
      </c>
      <c r="D54" s="351" t="s">
        <v>612</v>
      </c>
      <c r="E54" s="356">
        <v>0.28999999999999998</v>
      </c>
      <c r="H54" s="134" t="s">
        <v>256</v>
      </c>
      <c r="I54" s="134" t="s">
        <v>590</v>
      </c>
      <c r="J54" s="134" t="s">
        <v>199</v>
      </c>
      <c r="K54" s="134" t="s">
        <v>206</v>
      </c>
      <c r="L54" s="134">
        <v>0</v>
      </c>
      <c r="M54" s="134">
        <v>122</v>
      </c>
      <c r="N54" s="134">
        <v>25</v>
      </c>
      <c r="O54" s="134">
        <v>80000</v>
      </c>
      <c r="P54" s="134">
        <v>0</v>
      </c>
      <c r="Q54" s="134">
        <v>44000</v>
      </c>
      <c r="R54" s="134">
        <v>0</v>
      </c>
      <c r="S54" s="134" t="s">
        <v>115</v>
      </c>
      <c r="T54" s="355" t="s">
        <v>16</v>
      </c>
      <c r="U54" s="134" t="s">
        <v>604</v>
      </c>
      <c r="V54" s="348" t="s">
        <v>198</v>
      </c>
      <c r="W54" s="349">
        <v>14.5</v>
      </c>
      <c r="X54" s="349">
        <v>4.5</v>
      </c>
      <c r="Y54" s="349">
        <v>0</v>
      </c>
      <c r="Z54" s="349">
        <v>0</v>
      </c>
      <c r="AA54" s="349">
        <v>2</v>
      </c>
      <c r="AB54" s="349">
        <v>0</v>
      </c>
      <c r="AC54" s="349">
        <v>2</v>
      </c>
    </row>
    <row r="55" spans="3:29" ht="16.2" thickBot="1" x14ac:dyDescent="0.35">
      <c r="C55" s="354" t="s">
        <v>255</v>
      </c>
      <c r="D55" s="134" t="s">
        <v>112</v>
      </c>
      <c r="E55" s="356">
        <v>0.28999999999999998</v>
      </c>
      <c r="H55" s="134" t="s">
        <v>256</v>
      </c>
      <c r="I55" s="134" t="s">
        <v>590</v>
      </c>
      <c r="J55" s="134" t="s">
        <v>199</v>
      </c>
      <c r="K55" s="134" t="s">
        <v>198</v>
      </c>
      <c r="L55" s="134">
        <v>0</v>
      </c>
      <c r="M55" s="134">
        <v>122</v>
      </c>
      <c r="N55" s="134">
        <v>25</v>
      </c>
      <c r="O55" s="134">
        <v>80000</v>
      </c>
      <c r="P55" s="134">
        <v>0</v>
      </c>
      <c r="Q55" s="134">
        <v>44000</v>
      </c>
      <c r="R55" s="134">
        <v>0</v>
      </c>
      <c r="S55" s="134" t="s">
        <v>115</v>
      </c>
      <c r="T55" s="355" t="s">
        <v>16</v>
      </c>
      <c r="U55" s="134" t="s">
        <v>604</v>
      </c>
      <c r="V55" s="348" t="s">
        <v>190</v>
      </c>
      <c r="W55" s="349">
        <v>14.5</v>
      </c>
      <c r="X55" s="349">
        <v>4.5</v>
      </c>
      <c r="Y55" s="349">
        <v>0</v>
      </c>
      <c r="Z55" s="349">
        <v>0</v>
      </c>
      <c r="AA55" s="349">
        <v>2</v>
      </c>
      <c r="AB55" s="349">
        <v>0</v>
      </c>
      <c r="AC55" s="349">
        <v>2</v>
      </c>
    </row>
    <row r="56" spans="3:29" ht="16.2" thickBot="1" x14ac:dyDescent="0.35">
      <c r="C56" s="354" t="s">
        <v>255</v>
      </c>
      <c r="D56" s="352" t="s">
        <v>613</v>
      </c>
      <c r="E56" s="356">
        <v>0.28666666666666701</v>
      </c>
      <c r="H56" s="134" t="s">
        <v>256</v>
      </c>
      <c r="I56" s="134" t="s">
        <v>590</v>
      </c>
      <c r="J56" s="134" t="s">
        <v>199</v>
      </c>
      <c r="K56" s="134" t="s">
        <v>190</v>
      </c>
      <c r="L56" s="134">
        <v>0</v>
      </c>
      <c r="M56" s="134">
        <v>122</v>
      </c>
      <c r="N56" s="134">
        <v>25</v>
      </c>
      <c r="O56" s="134">
        <v>80000</v>
      </c>
      <c r="P56" s="134">
        <v>0</v>
      </c>
      <c r="Q56" s="134">
        <v>44000</v>
      </c>
      <c r="R56" s="134">
        <v>3.7499999999999999E-2</v>
      </c>
      <c r="S56" s="134" t="s">
        <v>115</v>
      </c>
      <c r="T56" s="355" t="s">
        <v>256</v>
      </c>
      <c r="U56" s="134" t="s">
        <v>590</v>
      </c>
      <c r="V56" s="348" t="s">
        <v>206</v>
      </c>
      <c r="W56" s="349">
        <v>0.7</v>
      </c>
      <c r="X56" s="349">
        <v>0</v>
      </c>
      <c r="Y56" s="349">
        <v>0</v>
      </c>
      <c r="Z56" s="349">
        <v>0</v>
      </c>
      <c r="AA56" s="349">
        <v>0.3</v>
      </c>
      <c r="AB56" s="349">
        <v>0.1</v>
      </c>
      <c r="AC56" s="349">
        <v>5.6</v>
      </c>
    </row>
    <row r="57" spans="3:29" ht="16.2" thickBot="1" x14ac:dyDescent="0.35">
      <c r="C57" s="354" t="s">
        <v>255</v>
      </c>
      <c r="D57" s="351" t="s">
        <v>614</v>
      </c>
      <c r="E57" s="356">
        <v>0.28523809523809501</v>
      </c>
      <c r="H57" s="134" t="s">
        <v>256</v>
      </c>
      <c r="I57" s="134" t="s">
        <v>591</v>
      </c>
      <c r="J57" s="134" t="s">
        <v>207</v>
      </c>
      <c r="K57" s="134" t="s">
        <v>206</v>
      </c>
      <c r="L57" s="134">
        <v>25</v>
      </c>
      <c r="M57" s="134">
        <v>87</v>
      </c>
      <c r="N57" s="134">
        <v>140</v>
      </c>
      <c r="O57" s="134">
        <v>2000</v>
      </c>
      <c r="P57" s="134">
        <v>1440</v>
      </c>
      <c r="Q57" s="134">
        <v>12500</v>
      </c>
      <c r="R57" s="134">
        <v>0</v>
      </c>
      <c r="S57" s="134" t="s">
        <v>115</v>
      </c>
      <c r="T57" s="355" t="s">
        <v>256</v>
      </c>
      <c r="U57" s="134" t="s">
        <v>590</v>
      </c>
      <c r="V57" s="348" t="s">
        <v>198</v>
      </c>
      <c r="W57" s="349">
        <v>0.7</v>
      </c>
      <c r="X57" s="349">
        <v>0</v>
      </c>
      <c r="Y57" s="349">
        <v>0</v>
      </c>
      <c r="Z57" s="349">
        <v>0</v>
      </c>
      <c r="AA57" s="349">
        <v>0.3</v>
      </c>
      <c r="AB57" s="349">
        <v>0.1</v>
      </c>
      <c r="AC57" s="349">
        <v>5.6</v>
      </c>
    </row>
    <row r="58" spans="3:29" ht="16.2" thickBot="1" x14ac:dyDescent="0.35">
      <c r="C58" s="354" t="s">
        <v>255</v>
      </c>
      <c r="D58" s="351" t="s">
        <v>615</v>
      </c>
      <c r="E58" s="356">
        <v>0.28380952380952401</v>
      </c>
      <c r="H58" s="134" t="s">
        <v>256</v>
      </c>
      <c r="I58" s="134" t="s">
        <v>591</v>
      </c>
      <c r="J58" s="134" t="s">
        <v>207</v>
      </c>
      <c r="K58" s="134" t="s">
        <v>198</v>
      </c>
      <c r="L58" s="134">
        <v>25</v>
      </c>
      <c r="M58" s="134">
        <v>87</v>
      </c>
      <c r="N58" s="134">
        <v>140</v>
      </c>
      <c r="O58" s="134">
        <v>2000</v>
      </c>
      <c r="P58" s="134">
        <v>1440</v>
      </c>
      <c r="Q58" s="134">
        <v>12500</v>
      </c>
      <c r="R58" s="134">
        <v>0</v>
      </c>
      <c r="S58" s="134" t="s">
        <v>115</v>
      </c>
      <c r="T58" s="355" t="s">
        <v>256</v>
      </c>
      <c r="U58" s="134" t="s">
        <v>590</v>
      </c>
      <c r="V58" s="348" t="s">
        <v>190</v>
      </c>
      <c r="W58" s="349">
        <v>0.7</v>
      </c>
      <c r="X58" s="349">
        <v>0</v>
      </c>
      <c r="Y58" s="349">
        <v>0</v>
      </c>
      <c r="Z58" s="349">
        <v>0</v>
      </c>
      <c r="AA58" s="349">
        <v>0.3</v>
      </c>
      <c r="AB58" s="349">
        <v>0.1</v>
      </c>
      <c r="AC58" s="349">
        <v>5.6</v>
      </c>
    </row>
    <row r="59" spans="3:29" ht="16.2" thickBot="1" x14ac:dyDescent="0.35">
      <c r="C59" s="354" t="s">
        <v>255</v>
      </c>
      <c r="D59" s="134" t="s">
        <v>616</v>
      </c>
      <c r="E59" s="346">
        <v>0</v>
      </c>
      <c r="H59" s="134" t="s">
        <v>256</v>
      </c>
      <c r="I59" s="134" t="s">
        <v>591</v>
      </c>
      <c r="J59" s="134" t="s">
        <v>207</v>
      </c>
      <c r="K59" s="134" t="s">
        <v>190</v>
      </c>
      <c r="L59" s="134">
        <v>25</v>
      </c>
      <c r="M59" s="134">
        <v>87</v>
      </c>
      <c r="N59" s="134">
        <v>140</v>
      </c>
      <c r="O59" s="134">
        <v>3500</v>
      </c>
      <c r="P59" s="134">
        <v>2520</v>
      </c>
      <c r="Q59" s="134">
        <v>12500</v>
      </c>
      <c r="R59" s="134">
        <v>0.45</v>
      </c>
      <c r="S59" s="134" t="s">
        <v>115</v>
      </c>
      <c r="T59" s="355" t="s">
        <v>256</v>
      </c>
      <c r="U59" s="357" t="s">
        <v>591</v>
      </c>
      <c r="V59" s="348" t="s">
        <v>206</v>
      </c>
      <c r="W59" s="349">
        <v>0.7</v>
      </c>
      <c r="X59" s="349">
        <v>0</v>
      </c>
      <c r="Y59" s="349">
        <v>0</v>
      </c>
      <c r="Z59" s="349">
        <v>0</v>
      </c>
      <c r="AA59" s="349">
        <v>0.3</v>
      </c>
      <c r="AB59" s="349">
        <v>0.1</v>
      </c>
      <c r="AC59" s="349">
        <v>0.4</v>
      </c>
    </row>
    <row r="60" spans="3:29" ht="16.2" thickBot="1" x14ac:dyDescent="0.35">
      <c r="C60" s="354" t="s">
        <v>255</v>
      </c>
      <c r="D60" s="345" t="s">
        <v>617</v>
      </c>
      <c r="E60" s="356">
        <v>0.28095238095238101</v>
      </c>
      <c r="H60" s="134" t="s">
        <v>256</v>
      </c>
      <c r="I60" s="134" t="s">
        <v>593</v>
      </c>
      <c r="J60" s="134" t="s">
        <v>199</v>
      </c>
      <c r="K60" s="134" t="s">
        <v>206</v>
      </c>
      <c r="L60" s="134">
        <v>7</v>
      </c>
      <c r="M60" s="134">
        <v>122</v>
      </c>
      <c r="N60" s="134">
        <v>25</v>
      </c>
      <c r="O60" s="134">
        <v>70000</v>
      </c>
      <c r="P60" s="134">
        <v>0</v>
      </c>
      <c r="Q60" s="134">
        <v>44000</v>
      </c>
      <c r="R60" s="134">
        <v>0</v>
      </c>
      <c r="S60" s="134" t="s">
        <v>115</v>
      </c>
      <c r="T60" s="355" t="s">
        <v>256</v>
      </c>
      <c r="U60" s="357" t="s">
        <v>591</v>
      </c>
      <c r="V60" s="348" t="s">
        <v>198</v>
      </c>
      <c r="W60" s="349">
        <v>0.7</v>
      </c>
      <c r="X60" s="349">
        <v>0</v>
      </c>
      <c r="Y60" s="349">
        <v>0</v>
      </c>
      <c r="Z60" s="349">
        <v>0</v>
      </c>
      <c r="AA60" s="349">
        <v>0.3</v>
      </c>
      <c r="AB60" s="349">
        <v>0.1</v>
      </c>
      <c r="AC60" s="349">
        <v>0.4</v>
      </c>
    </row>
    <row r="61" spans="3:29" ht="16.2" thickBot="1" x14ac:dyDescent="0.35">
      <c r="C61" s="354" t="s">
        <v>255</v>
      </c>
      <c r="D61" s="353" t="s">
        <v>618</v>
      </c>
      <c r="E61" s="356">
        <v>0.27952380952381001</v>
      </c>
      <c r="H61" s="134" t="s">
        <v>256</v>
      </c>
      <c r="I61" s="134" t="s">
        <v>593</v>
      </c>
      <c r="J61" s="134" t="s">
        <v>199</v>
      </c>
      <c r="K61" s="134" t="s">
        <v>198</v>
      </c>
      <c r="L61" s="134">
        <v>7</v>
      </c>
      <c r="M61" s="134">
        <v>122</v>
      </c>
      <c r="N61" s="134">
        <v>25</v>
      </c>
      <c r="O61" s="134">
        <v>70000</v>
      </c>
      <c r="P61" s="134">
        <v>0</v>
      </c>
      <c r="Q61" s="134">
        <v>44000</v>
      </c>
      <c r="R61" s="134">
        <v>0</v>
      </c>
      <c r="S61" s="134" t="s">
        <v>115</v>
      </c>
      <c r="T61" s="355" t="s">
        <v>256</v>
      </c>
      <c r="U61" s="357" t="s">
        <v>591</v>
      </c>
      <c r="V61" s="348" t="s">
        <v>190</v>
      </c>
      <c r="W61" s="349">
        <v>0.7</v>
      </c>
      <c r="X61" s="349">
        <v>0</v>
      </c>
      <c r="Y61" s="349">
        <v>0</v>
      </c>
      <c r="Z61" s="349">
        <v>0</v>
      </c>
      <c r="AA61" s="349">
        <v>0.3</v>
      </c>
      <c r="AB61" s="349">
        <v>0.1</v>
      </c>
      <c r="AC61" s="349">
        <v>0.4</v>
      </c>
    </row>
    <row r="62" spans="3:29" ht="16.2" thickBot="1" x14ac:dyDescent="0.35">
      <c r="C62" s="354" t="s">
        <v>255</v>
      </c>
      <c r="D62" s="350" t="s">
        <v>619</v>
      </c>
      <c r="E62" s="346">
        <v>0</v>
      </c>
      <c r="H62" s="134" t="s">
        <v>256</v>
      </c>
      <c r="I62" s="134" t="s">
        <v>593</v>
      </c>
      <c r="J62" s="134" t="s">
        <v>199</v>
      </c>
      <c r="K62" s="134" t="s">
        <v>190</v>
      </c>
      <c r="L62" s="134">
        <v>7</v>
      </c>
      <c r="M62" s="134">
        <v>122</v>
      </c>
      <c r="N62" s="134">
        <v>25</v>
      </c>
      <c r="O62" s="134">
        <v>70000</v>
      </c>
      <c r="P62" s="134">
        <v>0</v>
      </c>
      <c r="Q62" s="134">
        <v>44000</v>
      </c>
      <c r="R62" s="134">
        <v>0.75</v>
      </c>
      <c r="S62" s="134" t="s">
        <v>115</v>
      </c>
      <c r="T62" s="355" t="s">
        <v>256</v>
      </c>
      <c r="U62" s="357" t="s">
        <v>593</v>
      </c>
      <c r="V62" s="348" t="s">
        <v>206</v>
      </c>
      <c r="W62" s="349">
        <v>0.7</v>
      </c>
      <c r="X62" s="349">
        <v>0</v>
      </c>
      <c r="Y62" s="349">
        <v>0</v>
      </c>
      <c r="Z62" s="349">
        <v>0</v>
      </c>
      <c r="AA62" s="349">
        <v>0.3</v>
      </c>
      <c r="AB62" s="349">
        <v>0.1</v>
      </c>
      <c r="AC62" s="349">
        <v>4.5</v>
      </c>
    </row>
    <row r="63" spans="3:29" ht="16.2" thickBot="1" x14ac:dyDescent="0.35">
      <c r="C63" s="354" t="s">
        <v>255</v>
      </c>
      <c r="D63" s="350" t="s">
        <v>620</v>
      </c>
      <c r="E63" s="356">
        <v>0.276666666666667</v>
      </c>
      <c r="H63" s="134" t="s">
        <v>256</v>
      </c>
      <c r="I63" s="134" t="s">
        <v>596</v>
      </c>
      <c r="J63" s="134" t="s">
        <v>207</v>
      </c>
      <c r="K63" s="134" t="s">
        <v>206</v>
      </c>
      <c r="L63" s="134">
        <v>0</v>
      </c>
      <c r="M63" s="134">
        <v>0</v>
      </c>
      <c r="N63" s="134">
        <v>300</v>
      </c>
      <c r="O63" s="134">
        <v>1400</v>
      </c>
      <c r="P63" s="134">
        <v>0</v>
      </c>
      <c r="Q63" s="134">
        <v>0</v>
      </c>
      <c r="R63" s="134">
        <v>0</v>
      </c>
      <c r="S63" s="134" t="s">
        <v>115</v>
      </c>
      <c r="T63" s="355" t="s">
        <v>256</v>
      </c>
      <c r="U63" s="357" t="s">
        <v>593</v>
      </c>
      <c r="V63" s="348" t="s">
        <v>198</v>
      </c>
      <c r="W63" s="349">
        <v>0.7</v>
      </c>
      <c r="X63" s="349">
        <v>0</v>
      </c>
      <c r="Y63" s="349">
        <v>0</v>
      </c>
      <c r="Z63" s="349">
        <v>0</v>
      </c>
      <c r="AA63" s="349">
        <v>0.3</v>
      </c>
      <c r="AB63" s="349">
        <v>0.1</v>
      </c>
      <c r="AC63" s="349">
        <v>4.5</v>
      </c>
    </row>
    <row r="64" spans="3:29" ht="16.2" thickBot="1" x14ac:dyDescent="0.35">
      <c r="C64" s="354" t="s">
        <v>255</v>
      </c>
      <c r="D64" s="352" t="s">
        <v>621</v>
      </c>
      <c r="E64" s="356">
        <v>0.275238095238095</v>
      </c>
      <c r="H64" s="134" t="s">
        <v>256</v>
      </c>
      <c r="I64" s="134" t="s">
        <v>596</v>
      </c>
      <c r="J64" s="134" t="s">
        <v>207</v>
      </c>
      <c r="K64" s="134" t="s">
        <v>198</v>
      </c>
      <c r="L64" s="134">
        <v>0</v>
      </c>
      <c r="M64" s="134">
        <v>0</v>
      </c>
      <c r="N64" s="134">
        <v>300</v>
      </c>
      <c r="O64" s="134">
        <v>2100</v>
      </c>
      <c r="P64" s="134">
        <v>0</v>
      </c>
      <c r="Q64" s="134">
        <v>0</v>
      </c>
      <c r="R64" s="134">
        <v>0</v>
      </c>
      <c r="S64" s="134" t="s">
        <v>115</v>
      </c>
      <c r="T64" s="355" t="s">
        <v>256</v>
      </c>
      <c r="U64" s="357" t="s">
        <v>593</v>
      </c>
      <c r="V64" s="348" t="s">
        <v>190</v>
      </c>
      <c r="W64" s="349">
        <v>0.7</v>
      </c>
      <c r="X64" s="349">
        <v>0</v>
      </c>
      <c r="Y64" s="349">
        <v>0</v>
      </c>
      <c r="Z64" s="349">
        <v>0</v>
      </c>
      <c r="AA64" s="349">
        <v>0.3</v>
      </c>
      <c r="AB64" s="349">
        <v>0.1</v>
      </c>
      <c r="AC64" s="349">
        <v>4.5</v>
      </c>
    </row>
    <row r="65" spans="3:29" ht="16.2" thickBot="1" x14ac:dyDescent="0.35">
      <c r="C65" s="354" t="s">
        <v>588</v>
      </c>
      <c r="D65" s="345" t="s">
        <v>606</v>
      </c>
      <c r="E65" s="356">
        <v>0.3</v>
      </c>
      <c r="H65" s="134" t="s">
        <v>256</v>
      </c>
      <c r="I65" s="134" t="s">
        <v>596</v>
      </c>
      <c r="J65" s="134" t="s">
        <v>207</v>
      </c>
      <c r="K65" s="134" t="s">
        <v>190</v>
      </c>
      <c r="L65" s="134">
        <v>0</v>
      </c>
      <c r="M65" s="134">
        <v>0</v>
      </c>
      <c r="N65" s="134">
        <v>300</v>
      </c>
      <c r="O65" s="134">
        <v>3000</v>
      </c>
      <c r="P65" s="134">
        <v>0</v>
      </c>
      <c r="Q65" s="134">
        <v>0</v>
      </c>
      <c r="R65" s="134">
        <v>0.17499999999999999</v>
      </c>
      <c r="S65" s="134" t="s">
        <v>115</v>
      </c>
      <c r="T65" s="355" t="s">
        <v>256</v>
      </c>
      <c r="U65" s="357" t="s">
        <v>596</v>
      </c>
      <c r="V65" s="348" t="s">
        <v>206</v>
      </c>
      <c r="W65" s="349">
        <v>3</v>
      </c>
      <c r="X65" s="349">
        <v>0</v>
      </c>
      <c r="Y65" s="349">
        <v>2</v>
      </c>
      <c r="Z65" s="349">
        <v>0</v>
      </c>
      <c r="AA65" s="349">
        <v>0</v>
      </c>
      <c r="AB65" s="349">
        <v>0</v>
      </c>
      <c r="AC65" s="349">
        <v>2</v>
      </c>
    </row>
    <row r="66" spans="3:29" ht="16.2" thickBot="1" x14ac:dyDescent="0.35">
      <c r="C66" s="354" t="s">
        <v>588</v>
      </c>
      <c r="D66" s="345" t="s">
        <v>607</v>
      </c>
      <c r="E66" s="356">
        <v>0.28999999999999998</v>
      </c>
      <c r="H66" s="134" t="s">
        <v>256</v>
      </c>
      <c r="I66" s="134" t="s">
        <v>597</v>
      </c>
      <c r="J66" s="134" t="s">
        <v>199</v>
      </c>
      <c r="K66" s="134" t="s">
        <v>206</v>
      </c>
      <c r="L66" s="134">
        <v>25</v>
      </c>
      <c r="M66" s="134">
        <v>122</v>
      </c>
      <c r="N66" s="134">
        <v>140</v>
      </c>
      <c r="O66" s="134">
        <v>45000</v>
      </c>
      <c r="P66" s="134">
        <v>0</v>
      </c>
      <c r="Q66" s="134">
        <v>10500</v>
      </c>
      <c r="R66" s="134">
        <v>0</v>
      </c>
      <c r="S66" s="134" t="s">
        <v>115</v>
      </c>
      <c r="T66" s="355" t="s">
        <v>256</v>
      </c>
      <c r="U66" s="357" t="s">
        <v>596</v>
      </c>
      <c r="V66" s="348" t="s">
        <v>198</v>
      </c>
      <c r="W66" s="349">
        <v>3</v>
      </c>
      <c r="X66" s="349">
        <v>0</v>
      </c>
      <c r="Y66" s="349">
        <v>2</v>
      </c>
      <c r="Z66" s="349">
        <v>2</v>
      </c>
      <c r="AA66" s="349">
        <v>0</v>
      </c>
      <c r="AB66" s="349">
        <v>0</v>
      </c>
      <c r="AC66" s="349">
        <v>2</v>
      </c>
    </row>
    <row r="67" spans="3:29" ht="16.2" thickBot="1" x14ac:dyDescent="0.35">
      <c r="C67" s="354" t="s">
        <v>588</v>
      </c>
      <c r="D67" s="350" t="s">
        <v>609</v>
      </c>
      <c r="E67" s="356">
        <v>0.28999999999999998</v>
      </c>
      <c r="H67" s="134" t="s">
        <v>256</v>
      </c>
      <c r="I67" s="134" t="s">
        <v>597</v>
      </c>
      <c r="J67" s="134" t="s">
        <v>199</v>
      </c>
      <c r="K67" s="134" t="s">
        <v>198</v>
      </c>
      <c r="L67" s="134">
        <v>25</v>
      </c>
      <c r="M67" s="134">
        <v>122</v>
      </c>
      <c r="N67" s="134">
        <v>140</v>
      </c>
      <c r="O67" s="134">
        <v>45000</v>
      </c>
      <c r="P67" s="134">
        <v>0</v>
      </c>
      <c r="Q67" s="134">
        <v>10500</v>
      </c>
      <c r="R67" s="134">
        <v>0</v>
      </c>
      <c r="S67" s="134" t="s">
        <v>115</v>
      </c>
      <c r="T67" s="355" t="s">
        <v>256</v>
      </c>
      <c r="U67" s="357" t="s">
        <v>596</v>
      </c>
      <c r="V67" s="348" t="s">
        <v>190</v>
      </c>
      <c r="W67" s="349">
        <v>3</v>
      </c>
      <c r="X67" s="349">
        <v>0</v>
      </c>
      <c r="Y67" s="349">
        <v>2</v>
      </c>
      <c r="Z67" s="349">
        <v>2</v>
      </c>
      <c r="AA67" s="349">
        <v>0</v>
      </c>
      <c r="AB67" s="349">
        <v>0</v>
      </c>
      <c r="AC67" s="349">
        <v>4</v>
      </c>
    </row>
    <row r="68" spans="3:29" ht="16.2" thickBot="1" x14ac:dyDescent="0.35">
      <c r="C68" s="354" t="s">
        <v>588</v>
      </c>
      <c r="D68" s="134" t="s">
        <v>610</v>
      </c>
      <c r="E68" s="346">
        <v>0</v>
      </c>
      <c r="H68" s="134" t="s">
        <v>256</v>
      </c>
      <c r="I68" s="134" t="s">
        <v>597</v>
      </c>
      <c r="J68" s="134" t="s">
        <v>199</v>
      </c>
      <c r="K68" s="134" t="s">
        <v>190</v>
      </c>
      <c r="L68" s="134">
        <v>25</v>
      </c>
      <c r="M68" s="134">
        <v>122</v>
      </c>
      <c r="N68" s="134">
        <v>140</v>
      </c>
      <c r="O68" s="134">
        <v>45000</v>
      </c>
      <c r="P68" s="134">
        <v>0</v>
      </c>
      <c r="Q68" s="134">
        <v>10500</v>
      </c>
      <c r="R68" s="134">
        <v>0.2</v>
      </c>
      <c r="S68" s="134" t="s">
        <v>115</v>
      </c>
      <c r="T68" s="6" t="s">
        <v>256</v>
      </c>
      <c r="U68" s="134" t="s">
        <v>597</v>
      </c>
      <c r="V68" s="348" t="s">
        <v>206</v>
      </c>
      <c r="W68" s="134">
        <v>0.7</v>
      </c>
      <c r="X68" s="134">
        <v>0</v>
      </c>
      <c r="Y68" s="134">
        <v>0</v>
      </c>
      <c r="Z68" s="134">
        <v>0</v>
      </c>
      <c r="AA68" s="134">
        <v>0.3</v>
      </c>
      <c r="AB68" s="134">
        <v>0.1</v>
      </c>
      <c r="AC68" s="8">
        <v>0.8</v>
      </c>
    </row>
    <row r="69" spans="3:29" ht="16.2" thickBot="1" x14ac:dyDescent="0.35">
      <c r="C69" s="354" t="s">
        <v>588</v>
      </c>
      <c r="D69" s="351" t="s">
        <v>612</v>
      </c>
      <c r="E69" s="356">
        <v>0.28999999999999998</v>
      </c>
      <c r="H69" s="134" t="s">
        <v>256</v>
      </c>
      <c r="I69" s="134" t="s">
        <v>598</v>
      </c>
      <c r="J69" s="134" t="s">
        <v>207</v>
      </c>
      <c r="K69" s="134" t="s">
        <v>206</v>
      </c>
      <c r="L69" s="134">
        <v>25</v>
      </c>
      <c r="M69" s="134">
        <v>122</v>
      </c>
      <c r="N69" s="134">
        <v>200</v>
      </c>
      <c r="O69" s="134">
        <v>45000</v>
      </c>
      <c r="P69" s="134">
        <v>35100</v>
      </c>
      <c r="Q69" s="134">
        <v>44000</v>
      </c>
      <c r="R69" s="134">
        <v>0</v>
      </c>
      <c r="S69" s="134" t="s">
        <v>115</v>
      </c>
      <c r="T69" s="6" t="s">
        <v>256</v>
      </c>
      <c r="U69" s="134" t="s">
        <v>597</v>
      </c>
      <c r="V69" s="348" t="s">
        <v>198</v>
      </c>
      <c r="W69" s="134">
        <v>0.7</v>
      </c>
      <c r="X69" s="134">
        <v>0</v>
      </c>
      <c r="Y69" s="134">
        <v>0</v>
      </c>
      <c r="Z69" s="134">
        <v>0</v>
      </c>
      <c r="AA69" s="134">
        <v>0.3</v>
      </c>
      <c r="AB69" s="134">
        <v>0.1</v>
      </c>
      <c r="AC69" s="8">
        <v>0.8</v>
      </c>
    </row>
    <row r="70" spans="3:29" ht="16.2" thickBot="1" x14ac:dyDescent="0.35">
      <c r="C70" s="354" t="s">
        <v>588</v>
      </c>
      <c r="D70" s="134" t="s">
        <v>112</v>
      </c>
      <c r="E70" s="356">
        <v>0.28999999999999998</v>
      </c>
      <c r="H70" s="134" t="s">
        <v>256</v>
      </c>
      <c r="I70" s="134" t="s">
        <v>598</v>
      </c>
      <c r="J70" s="134" t="s">
        <v>207</v>
      </c>
      <c r="K70" s="134" t="s">
        <v>198</v>
      </c>
      <c r="L70" s="134">
        <v>25</v>
      </c>
      <c r="M70" s="134">
        <v>122</v>
      </c>
      <c r="N70" s="134">
        <v>200</v>
      </c>
      <c r="O70" s="134">
        <v>45000</v>
      </c>
      <c r="P70" s="134">
        <v>35100</v>
      </c>
      <c r="Q70" s="134">
        <v>44000</v>
      </c>
      <c r="R70" s="134">
        <v>0</v>
      </c>
      <c r="S70" s="134" t="s">
        <v>115</v>
      </c>
      <c r="T70" s="6" t="s">
        <v>256</v>
      </c>
      <c r="U70" s="134" t="s">
        <v>597</v>
      </c>
      <c r="V70" s="348" t="s">
        <v>190</v>
      </c>
      <c r="W70" s="134">
        <v>0.7</v>
      </c>
      <c r="X70" s="134">
        <v>0</v>
      </c>
      <c r="Y70" s="134">
        <v>0</v>
      </c>
      <c r="Z70" s="134">
        <v>0</v>
      </c>
      <c r="AA70" s="134">
        <v>0.3</v>
      </c>
      <c r="AB70" s="134">
        <v>0.1</v>
      </c>
      <c r="AC70" s="8">
        <v>0.8</v>
      </c>
    </row>
    <row r="71" spans="3:29" ht="16.2" thickBot="1" x14ac:dyDescent="0.35">
      <c r="C71" s="354" t="s">
        <v>588</v>
      </c>
      <c r="D71" s="352" t="s">
        <v>613</v>
      </c>
      <c r="E71" s="356">
        <v>0.28666666666666701</v>
      </c>
      <c r="H71" s="134" t="s">
        <v>256</v>
      </c>
      <c r="I71" s="134" t="s">
        <v>598</v>
      </c>
      <c r="J71" s="134" t="s">
        <v>207</v>
      </c>
      <c r="K71" s="134" t="s">
        <v>190</v>
      </c>
      <c r="L71" s="134">
        <v>25</v>
      </c>
      <c r="M71" s="134">
        <v>122</v>
      </c>
      <c r="N71" s="134">
        <v>200</v>
      </c>
      <c r="O71" s="134">
        <v>45000</v>
      </c>
      <c r="P71" s="134">
        <v>35100</v>
      </c>
      <c r="Q71" s="134">
        <v>44000</v>
      </c>
      <c r="R71" s="134">
        <v>0.3</v>
      </c>
      <c r="S71" s="134" t="s">
        <v>115</v>
      </c>
      <c r="T71" s="6" t="s">
        <v>256</v>
      </c>
      <c r="U71" s="134" t="s">
        <v>598</v>
      </c>
      <c r="V71" s="348" t="s">
        <v>206</v>
      </c>
      <c r="W71" s="134">
        <v>0.7</v>
      </c>
      <c r="X71" s="134">
        <v>0</v>
      </c>
      <c r="Y71" s="134">
        <v>0</v>
      </c>
      <c r="Z71" s="134">
        <v>0</v>
      </c>
      <c r="AA71" s="134">
        <v>0.3</v>
      </c>
      <c r="AB71" s="134">
        <v>0.1</v>
      </c>
      <c r="AC71" s="8">
        <v>0.8</v>
      </c>
    </row>
    <row r="72" spans="3:29" ht="16.2" thickBot="1" x14ac:dyDescent="0.35">
      <c r="C72" s="354" t="s">
        <v>588</v>
      </c>
      <c r="D72" s="351" t="s">
        <v>614</v>
      </c>
      <c r="E72" s="356">
        <v>0.28523809523809501</v>
      </c>
      <c r="H72" s="134" t="s">
        <v>256</v>
      </c>
      <c r="I72" s="134" t="s">
        <v>603</v>
      </c>
      <c r="J72" s="134" t="s">
        <v>199</v>
      </c>
      <c r="K72" s="134" t="s">
        <v>206</v>
      </c>
      <c r="L72" s="134">
        <v>0</v>
      </c>
      <c r="M72" s="134">
        <v>62.8</v>
      </c>
      <c r="N72" s="134">
        <v>6000</v>
      </c>
      <c r="O72" s="134">
        <v>25000</v>
      </c>
      <c r="P72" s="134">
        <v>35000</v>
      </c>
      <c r="Q72" s="134">
        <v>26600</v>
      </c>
      <c r="R72" s="134">
        <v>0</v>
      </c>
      <c r="S72" s="134" t="s">
        <v>115</v>
      </c>
      <c r="T72" s="6" t="s">
        <v>256</v>
      </c>
      <c r="U72" s="134" t="s">
        <v>598</v>
      </c>
      <c r="V72" s="348" t="s">
        <v>198</v>
      </c>
      <c r="W72" s="134">
        <v>0.7</v>
      </c>
      <c r="X72" s="134">
        <v>0</v>
      </c>
      <c r="Y72" s="134">
        <v>0</v>
      </c>
      <c r="Z72" s="134">
        <v>0</v>
      </c>
      <c r="AA72" s="134">
        <v>0.3</v>
      </c>
      <c r="AB72" s="134">
        <v>0.1</v>
      </c>
      <c r="AC72" s="8">
        <v>0.8</v>
      </c>
    </row>
    <row r="73" spans="3:29" ht="16.2" thickBot="1" x14ac:dyDescent="0.35">
      <c r="C73" s="354" t="s">
        <v>588</v>
      </c>
      <c r="D73" s="351" t="s">
        <v>615</v>
      </c>
      <c r="E73" s="356">
        <v>0.28380952380952401</v>
      </c>
      <c r="H73" s="134" t="s">
        <v>256</v>
      </c>
      <c r="I73" s="134" t="s">
        <v>603</v>
      </c>
      <c r="J73" s="134" t="s">
        <v>199</v>
      </c>
      <c r="K73" s="134" t="s">
        <v>198</v>
      </c>
      <c r="L73" s="134">
        <v>0</v>
      </c>
      <c r="M73" s="134">
        <v>92.2</v>
      </c>
      <c r="N73" s="134">
        <v>6000</v>
      </c>
      <c r="O73" s="134">
        <v>50000</v>
      </c>
      <c r="P73" s="134">
        <v>70000</v>
      </c>
      <c r="Q73" s="134">
        <v>38400</v>
      </c>
      <c r="R73" s="134">
        <v>0</v>
      </c>
      <c r="S73" s="134" t="s">
        <v>115</v>
      </c>
      <c r="T73" s="6" t="s">
        <v>256</v>
      </c>
      <c r="U73" s="134" t="s">
        <v>598</v>
      </c>
      <c r="V73" s="348" t="s">
        <v>190</v>
      </c>
      <c r="W73" s="134">
        <v>0.7</v>
      </c>
      <c r="X73" s="134">
        <v>0</v>
      </c>
      <c r="Y73" s="134">
        <v>0</v>
      </c>
      <c r="Z73" s="134">
        <v>0</v>
      </c>
      <c r="AA73" s="134">
        <v>0.3</v>
      </c>
      <c r="AB73" s="134">
        <v>0.1</v>
      </c>
      <c r="AC73" s="8">
        <v>0.8</v>
      </c>
    </row>
    <row r="74" spans="3:29" ht="16.2" thickBot="1" x14ac:dyDescent="0.35">
      <c r="C74" s="354" t="s">
        <v>588</v>
      </c>
      <c r="D74" s="134" t="s">
        <v>616</v>
      </c>
      <c r="E74" s="346">
        <v>0</v>
      </c>
      <c r="H74" s="134" t="s">
        <v>256</v>
      </c>
      <c r="I74" s="134" t="s">
        <v>603</v>
      </c>
      <c r="J74" s="134" t="s">
        <v>199</v>
      </c>
      <c r="K74" s="134" t="s">
        <v>190</v>
      </c>
      <c r="L74" s="134">
        <v>0</v>
      </c>
      <c r="M74" s="134">
        <v>98</v>
      </c>
      <c r="N74" s="134">
        <v>6000</v>
      </c>
      <c r="O74" s="134">
        <v>80000</v>
      </c>
      <c r="P74" s="134">
        <v>112000</v>
      </c>
      <c r="Q74" s="134">
        <v>40500</v>
      </c>
      <c r="R74" s="134">
        <v>3.7499999999999999E-2</v>
      </c>
      <c r="S74" s="134" t="s">
        <v>115</v>
      </c>
      <c r="T74" s="6" t="s">
        <v>256</v>
      </c>
      <c r="U74" s="134" t="s">
        <v>603</v>
      </c>
      <c r="V74" s="134" t="s">
        <v>206</v>
      </c>
      <c r="W74" s="134">
        <v>0.6</v>
      </c>
      <c r="X74" s="134">
        <v>0</v>
      </c>
      <c r="Y74" s="134">
        <v>0</v>
      </c>
      <c r="Z74" s="134">
        <v>0</v>
      </c>
      <c r="AA74" s="134">
        <v>0.2</v>
      </c>
      <c r="AB74" s="134">
        <v>0.1</v>
      </c>
      <c r="AC74" s="8">
        <v>0.8</v>
      </c>
    </row>
    <row r="75" spans="3:29" ht="16.2" thickBot="1" x14ac:dyDescent="0.35">
      <c r="C75" s="354" t="s">
        <v>588</v>
      </c>
      <c r="D75" s="345" t="s">
        <v>617</v>
      </c>
      <c r="E75" s="356">
        <v>0.28095238095238101</v>
      </c>
      <c r="H75" s="134" t="s">
        <v>256</v>
      </c>
      <c r="I75" s="134" t="s">
        <v>604</v>
      </c>
      <c r="J75" s="134" t="s">
        <v>207</v>
      </c>
      <c r="K75" s="134" t="s">
        <v>206</v>
      </c>
      <c r="L75" s="134">
        <v>7</v>
      </c>
      <c r="M75" s="134">
        <v>30</v>
      </c>
      <c r="N75" s="134">
        <v>25000</v>
      </c>
      <c r="O75" s="134">
        <v>7500</v>
      </c>
      <c r="P75" s="134">
        <v>0</v>
      </c>
      <c r="Q75" s="134">
        <v>0</v>
      </c>
      <c r="R75" s="134">
        <v>0</v>
      </c>
      <c r="S75" s="134" t="s">
        <v>115</v>
      </c>
      <c r="T75" s="6" t="s">
        <v>256</v>
      </c>
      <c r="U75" s="134" t="s">
        <v>603</v>
      </c>
      <c r="V75" s="134" t="s">
        <v>198</v>
      </c>
      <c r="W75" s="134">
        <v>0.7</v>
      </c>
      <c r="X75" s="134">
        <v>0</v>
      </c>
      <c r="Y75" s="134">
        <v>0</v>
      </c>
      <c r="Z75" s="134">
        <v>0</v>
      </c>
      <c r="AA75" s="134">
        <v>0.3</v>
      </c>
      <c r="AB75" s="134">
        <v>0.2</v>
      </c>
      <c r="AC75" s="8">
        <v>1</v>
      </c>
    </row>
    <row r="76" spans="3:29" ht="16.2" thickBot="1" x14ac:dyDescent="0.35">
      <c r="C76" s="354" t="s">
        <v>588</v>
      </c>
      <c r="D76" s="353" t="s">
        <v>618</v>
      </c>
      <c r="E76" s="356">
        <v>0.27952380952381001</v>
      </c>
      <c r="H76" s="134" t="s">
        <v>256</v>
      </c>
      <c r="I76" s="134" t="s">
        <v>604</v>
      </c>
      <c r="J76" s="134" t="s">
        <v>207</v>
      </c>
      <c r="K76" s="134" t="s">
        <v>198</v>
      </c>
      <c r="L76" s="134">
        <v>7</v>
      </c>
      <c r="M76" s="134">
        <v>60</v>
      </c>
      <c r="N76" s="134">
        <v>25000</v>
      </c>
      <c r="O76" s="134">
        <v>10000</v>
      </c>
      <c r="P76" s="134">
        <v>0</v>
      </c>
      <c r="Q76" s="134">
        <v>0</v>
      </c>
      <c r="R76" s="134">
        <v>0</v>
      </c>
      <c r="S76" s="134" t="s">
        <v>115</v>
      </c>
      <c r="T76" s="6" t="s">
        <v>256</v>
      </c>
      <c r="U76" s="134" t="s">
        <v>603</v>
      </c>
      <c r="V76" s="134" t="s">
        <v>190</v>
      </c>
      <c r="W76" s="134">
        <v>0.7</v>
      </c>
      <c r="X76" s="134">
        <v>0</v>
      </c>
      <c r="Y76" s="134">
        <v>0</v>
      </c>
      <c r="Z76" s="134">
        <v>0</v>
      </c>
      <c r="AA76" s="134">
        <v>0.3</v>
      </c>
      <c r="AB76" s="134">
        <v>0.3</v>
      </c>
      <c r="AC76" s="8">
        <v>1.4</v>
      </c>
    </row>
    <row r="77" spans="3:29" ht="16.2" thickBot="1" x14ac:dyDescent="0.35">
      <c r="C77" s="354" t="s">
        <v>588</v>
      </c>
      <c r="D77" s="350" t="s">
        <v>619</v>
      </c>
      <c r="E77" s="346">
        <v>0</v>
      </c>
      <c r="H77" s="134" t="s">
        <v>256</v>
      </c>
      <c r="I77" s="134" t="s">
        <v>604</v>
      </c>
      <c r="J77" s="134" t="s">
        <v>207</v>
      </c>
      <c r="K77" s="134" t="s">
        <v>190</v>
      </c>
      <c r="L77" s="134">
        <v>7</v>
      </c>
      <c r="M77" s="134">
        <v>180</v>
      </c>
      <c r="N77" s="134">
        <v>25000</v>
      </c>
      <c r="O77" s="134">
        <v>15000</v>
      </c>
      <c r="P77" s="134">
        <v>0</v>
      </c>
      <c r="Q77" s="134">
        <v>107000</v>
      </c>
      <c r="R77" s="134">
        <v>0.22500000000000001</v>
      </c>
      <c r="S77" s="134" t="s">
        <v>115</v>
      </c>
      <c r="T77" s="6" t="s">
        <v>256</v>
      </c>
      <c r="U77" s="134" t="s">
        <v>604</v>
      </c>
      <c r="V77" s="134" t="s">
        <v>206</v>
      </c>
      <c r="W77" s="134">
        <v>15</v>
      </c>
      <c r="X77" s="134">
        <v>5</v>
      </c>
      <c r="Y77" s="134">
        <v>0</v>
      </c>
      <c r="Z77" s="134">
        <v>0</v>
      </c>
      <c r="AA77" s="134">
        <v>2</v>
      </c>
      <c r="AB77" s="134">
        <v>0</v>
      </c>
      <c r="AC77" s="8">
        <v>6</v>
      </c>
    </row>
    <row r="78" spans="3:29" ht="16.2" thickBot="1" x14ac:dyDescent="0.35">
      <c r="C78" s="354" t="s">
        <v>588</v>
      </c>
      <c r="D78" s="350" t="s">
        <v>620</v>
      </c>
      <c r="E78" s="356">
        <v>0.276666666666667</v>
      </c>
      <c r="H78" s="134" t="s">
        <v>255</v>
      </c>
      <c r="I78" s="134" t="s">
        <v>590</v>
      </c>
      <c r="J78" s="134" t="s">
        <v>199</v>
      </c>
      <c r="K78" s="134" t="s">
        <v>206</v>
      </c>
      <c r="L78" s="134">
        <v>0</v>
      </c>
      <c r="M78" s="134">
        <v>122</v>
      </c>
      <c r="N78" s="134">
        <v>25</v>
      </c>
      <c r="O78" s="134">
        <v>80000</v>
      </c>
      <c r="P78" s="134">
        <v>0</v>
      </c>
      <c r="Q78" s="134">
        <v>0</v>
      </c>
      <c r="R78" s="134">
        <v>3.7499999999999999E-3</v>
      </c>
      <c r="S78" s="134" t="s">
        <v>115</v>
      </c>
      <c r="T78" s="6" t="s">
        <v>256</v>
      </c>
      <c r="U78" s="134" t="s">
        <v>604</v>
      </c>
      <c r="V78" s="134" t="s">
        <v>198</v>
      </c>
      <c r="W78" s="134">
        <v>15</v>
      </c>
      <c r="X78" s="134">
        <v>5</v>
      </c>
      <c r="Y78" s="134">
        <v>0</v>
      </c>
      <c r="Z78" s="134">
        <v>0</v>
      </c>
      <c r="AA78" s="134">
        <v>2</v>
      </c>
      <c r="AB78" s="134">
        <v>0</v>
      </c>
      <c r="AC78" s="8">
        <v>6</v>
      </c>
    </row>
    <row r="79" spans="3:29" ht="16.2" thickBot="1" x14ac:dyDescent="0.35">
      <c r="C79" s="354" t="s">
        <v>588</v>
      </c>
      <c r="D79" s="352" t="s">
        <v>621</v>
      </c>
      <c r="E79" s="356">
        <v>0.275238095238095</v>
      </c>
      <c r="H79" s="134" t="s">
        <v>255</v>
      </c>
      <c r="I79" s="134" t="s">
        <v>590</v>
      </c>
      <c r="J79" s="134" t="s">
        <v>199</v>
      </c>
      <c r="K79" s="134" t="s">
        <v>198</v>
      </c>
      <c r="L79" s="134">
        <v>0</v>
      </c>
      <c r="M79" s="134">
        <v>122</v>
      </c>
      <c r="N79" s="134">
        <v>25</v>
      </c>
      <c r="O79" s="134">
        <v>80000</v>
      </c>
      <c r="P79" s="134">
        <v>0</v>
      </c>
      <c r="Q79" s="134">
        <v>0</v>
      </c>
      <c r="R79" s="134">
        <v>0</v>
      </c>
      <c r="S79" s="134" t="s">
        <v>115</v>
      </c>
      <c r="T79" s="6" t="s">
        <v>256</v>
      </c>
      <c r="U79" s="134" t="s">
        <v>604</v>
      </c>
      <c r="V79" s="134" t="s">
        <v>190</v>
      </c>
      <c r="W79" s="134">
        <v>15</v>
      </c>
      <c r="X79" s="134">
        <v>5</v>
      </c>
      <c r="Y79" s="134">
        <v>0</v>
      </c>
      <c r="Z79" s="134">
        <v>0</v>
      </c>
      <c r="AA79" s="134">
        <v>2</v>
      </c>
      <c r="AB79" s="134">
        <v>0.5</v>
      </c>
      <c r="AC79" s="8">
        <v>6</v>
      </c>
    </row>
    <row r="80" spans="3:29" x14ac:dyDescent="0.3">
      <c r="H80" s="134" t="s">
        <v>255</v>
      </c>
      <c r="I80" s="134" t="s">
        <v>590</v>
      </c>
      <c r="J80" s="134" t="s">
        <v>199</v>
      </c>
      <c r="K80" s="134" t="s">
        <v>190</v>
      </c>
      <c r="L80" s="134">
        <v>0</v>
      </c>
      <c r="M80" s="134">
        <v>122</v>
      </c>
      <c r="N80" s="134">
        <v>25</v>
      </c>
      <c r="O80" s="134">
        <v>80000</v>
      </c>
      <c r="P80" s="134">
        <v>0</v>
      </c>
      <c r="Q80" s="134">
        <v>0</v>
      </c>
      <c r="R80" s="134">
        <v>0</v>
      </c>
      <c r="S80" s="134" t="s">
        <v>115</v>
      </c>
      <c r="T80" s="6" t="s">
        <v>255</v>
      </c>
      <c r="U80" s="134" t="s">
        <v>590</v>
      </c>
      <c r="V80" s="134" t="s">
        <v>206</v>
      </c>
      <c r="W80" s="134">
        <v>0.7</v>
      </c>
      <c r="X80" s="134">
        <v>0</v>
      </c>
      <c r="Y80" s="134">
        <v>0</v>
      </c>
      <c r="Z80" s="134">
        <v>0</v>
      </c>
      <c r="AA80" s="134">
        <v>0.3</v>
      </c>
      <c r="AB80" s="134">
        <v>0</v>
      </c>
      <c r="AC80" s="8">
        <v>5.6</v>
      </c>
    </row>
    <row r="81" spans="8:29" x14ac:dyDescent="0.3">
      <c r="H81" s="134" t="s">
        <v>255</v>
      </c>
      <c r="I81" s="134" t="s">
        <v>591</v>
      </c>
      <c r="J81" s="134" t="s">
        <v>207</v>
      </c>
      <c r="K81" s="134" t="s">
        <v>206</v>
      </c>
      <c r="L81" s="134">
        <v>25</v>
      </c>
      <c r="M81" s="134">
        <v>87</v>
      </c>
      <c r="N81" s="134">
        <v>140</v>
      </c>
      <c r="O81" s="134">
        <v>2000</v>
      </c>
      <c r="P81" s="134">
        <v>1440</v>
      </c>
      <c r="Q81" s="134">
        <v>2400</v>
      </c>
      <c r="R81" s="134">
        <v>0</v>
      </c>
      <c r="S81" s="134" t="s">
        <v>115</v>
      </c>
      <c r="T81" s="6" t="s">
        <v>255</v>
      </c>
      <c r="U81" s="134" t="s">
        <v>590</v>
      </c>
      <c r="V81" s="134" t="s">
        <v>198</v>
      </c>
      <c r="W81" s="134">
        <v>0.7</v>
      </c>
      <c r="X81" s="134">
        <v>0</v>
      </c>
      <c r="Y81" s="134">
        <v>0</v>
      </c>
      <c r="Z81" s="134">
        <v>0</v>
      </c>
      <c r="AA81" s="134">
        <v>0.3</v>
      </c>
      <c r="AB81" s="134">
        <v>0</v>
      </c>
      <c r="AC81" s="8">
        <v>5.6</v>
      </c>
    </row>
    <row r="82" spans="8:29" x14ac:dyDescent="0.3">
      <c r="H82" s="134" t="s">
        <v>255</v>
      </c>
      <c r="I82" s="134" t="s">
        <v>591</v>
      </c>
      <c r="J82" s="134" t="s">
        <v>207</v>
      </c>
      <c r="K82" s="134" t="s">
        <v>198</v>
      </c>
      <c r="L82" s="134">
        <v>25</v>
      </c>
      <c r="M82" s="134">
        <v>87</v>
      </c>
      <c r="N82" s="134">
        <v>140</v>
      </c>
      <c r="O82" s="134">
        <v>2000</v>
      </c>
      <c r="P82" s="134">
        <v>1440</v>
      </c>
      <c r="Q82" s="134">
        <v>2400</v>
      </c>
      <c r="R82" s="134">
        <v>0</v>
      </c>
      <c r="S82" s="134" t="s">
        <v>115</v>
      </c>
      <c r="T82" s="6" t="s">
        <v>255</v>
      </c>
      <c r="U82" s="134" t="s">
        <v>590</v>
      </c>
      <c r="V82" s="134" t="s">
        <v>190</v>
      </c>
      <c r="W82" s="134">
        <v>0.7</v>
      </c>
      <c r="X82" s="134">
        <v>0</v>
      </c>
      <c r="Y82" s="134">
        <v>0</v>
      </c>
      <c r="Z82" s="134">
        <v>0</v>
      </c>
      <c r="AA82" s="134">
        <v>0.3</v>
      </c>
      <c r="AB82" s="134">
        <v>0</v>
      </c>
      <c r="AC82" s="8">
        <v>5.6</v>
      </c>
    </row>
    <row r="83" spans="8:29" x14ac:dyDescent="0.3">
      <c r="H83" s="134" t="s">
        <v>255</v>
      </c>
      <c r="I83" s="134" t="s">
        <v>591</v>
      </c>
      <c r="J83" s="134" t="s">
        <v>207</v>
      </c>
      <c r="K83" s="134" t="s">
        <v>190</v>
      </c>
      <c r="L83" s="134">
        <v>25</v>
      </c>
      <c r="M83" s="134">
        <v>87</v>
      </c>
      <c r="N83" s="134">
        <v>140</v>
      </c>
      <c r="O83" s="134">
        <v>3500</v>
      </c>
      <c r="P83" s="134">
        <v>2520</v>
      </c>
      <c r="Q83" s="134">
        <v>2400</v>
      </c>
      <c r="R83" s="134">
        <v>0.63200000000000001</v>
      </c>
      <c r="S83" s="134" t="s">
        <v>115</v>
      </c>
      <c r="T83" s="6" t="s">
        <v>255</v>
      </c>
      <c r="U83" s="134" t="s">
        <v>591</v>
      </c>
      <c r="V83" s="134" t="s">
        <v>206</v>
      </c>
      <c r="W83" s="134">
        <v>0.7</v>
      </c>
      <c r="X83" s="134">
        <v>0</v>
      </c>
      <c r="Y83" s="134">
        <v>0</v>
      </c>
      <c r="Z83" s="134">
        <v>0</v>
      </c>
      <c r="AA83" s="134">
        <v>0.3</v>
      </c>
      <c r="AB83" s="134">
        <v>0.1</v>
      </c>
      <c r="AC83" s="8">
        <v>0.4</v>
      </c>
    </row>
    <row r="84" spans="8:29" x14ac:dyDescent="0.3">
      <c r="H84" s="134" t="s">
        <v>255</v>
      </c>
      <c r="I84" s="134" t="s">
        <v>592</v>
      </c>
      <c r="J84" s="134" t="s">
        <v>207</v>
      </c>
      <c r="K84" s="134" t="s">
        <v>206</v>
      </c>
      <c r="L84" s="134">
        <v>7</v>
      </c>
      <c r="M84" s="134">
        <v>6</v>
      </c>
      <c r="N84" s="134">
        <v>100</v>
      </c>
      <c r="O84" s="134">
        <v>2000</v>
      </c>
      <c r="P84" s="134">
        <v>0</v>
      </c>
      <c r="Q84" s="134">
        <v>4000</v>
      </c>
      <c r="R84" s="134">
        <v>0</v>
      </c>
      <c r="S84" s="134" t="s">
        <v>115</v>
      </c>
      <c r="T84" s="6" t="s">
        <v>255</v>
      </c>
      <c r="U84" s="134" t="s">
        <v>591</v>
      </c>
      <c r="V84" s="134" t="s">
        <v>198</v>
      </c>
      <c r="W84" s="134">
        <v>0.7</v>
      </c>
      <c r="X84" s="134">
        <v>0</v>
      </c>
      <c r="Y84" s="134">
        <v>0</v>
      </c>
      <c r="Z84" s="134">
        <v>0</v>
      </c>
      <c r="AA84" s="134">
        <v>0.3</v>
      </c>
      <c r="AB84" s="134">
        <v>0.1</v>
      </c>
      <c r="AC84" s="8">
        <v>0.4</v>
      </c>
    </row>
    <row r="85" spans="8:29" x14ac:dyDescent="0.3">
      <c r="H85" s="134" t="s">
        <v>255</v>
      </c>
      <c r="I85" s="134" t="s">
        <v>592</v>
      </c>
      <c r="J85" s="134" t="s">
        <v>207</v>
      </c>
      <c r="K85" s="134" t="s">
        <v>198</v>
      </c>
      <c r="L85" s="134">
        <v>7</v>
      </c>
      <c r="M85" s="134">
        <v>6</v>
      </c>
      <c r="N85" s="134">
        <v>100</v>
      </c>
      <c r="O85" s="134">
        <v>2000</v>
      </c>
      <c r="P85" s="134">
        <v>0</v>
      </c>
      <c r="Q85" s="134">
        <v>4000</v>
      </c>
      <c r="R85" s="134">
        <v>0</v>
      </c>
      <c r="S85" s="134" t="s">
        <v>115</v>
      </c>
      <c r="T85" s="6" t="s">
        <v>255</v>
      </c>
      <c r="U85" s="134" t="s">
        <v>591</v>
      </c>
      <c r="V85" s="134" t="s">
        <v>190</v>
      </c>
      <c r="W85" s="134">
        <v>0.7</v>
      </c>
      <c r="X85" s="134">
        <v>0</v>
      </c>
      <c r="Y85" s="134">
        <v>0</v>
      </c>
      <c r="Z85" s="134">
        <v>0</v>
      </c>
      <c r="AA85" s="134">
        <v>0.3</v>
      </c>
      <c r="AB85" s="134">
        <v>0.1</v>
      </c>
      <c r="AC85" s="8">
        <v>0.4</v>
      </c>
    </row>
    <row r="86" spans="8:29" x14ac:dyDescent="0.3">
      <c r="H86" s="134" t="s">
        <v>255</v>
      </c>
      <c r="I86" s="134" t="s">
        <v>592</v>
      </c>
      <c r="J86" s="134" t="s">
        <v>207</v>
      </c>
      <c r="K86" s="134" t="s">
        <v>190</v>
      </c>
      <c r="L86" s="134">
        <v>7</v>
      </c>
      <c r="M86" s="134">
        <v>6</v>
      </c>
      <c r="N86" s="134">
        <v>100</v>
      </c>
      <c r="O86" s="134">
        <v>2000</v>
      </c>
      <c r="P86" s="134">
        <v>0</v>
      </c>
      <c r="Q86" s="134">
        <v>4000</v>
      </c>
      <c r="R86" s="134">
        <v>0.16</v>
      </c>
      <c r="S86" s="134" t="s">
        <v>115</v>
      </c>
      <c r="T86" s="6" t="s">
        <v>255</v>
      </c>
      <c r="U86" s="134" t="s">
        <v>592</v>
      </c>
      <c r="V86" s="134" t="s">
        <v>206</v>
      </c>
      <c r="W86" s="134">
        <v>10</v>
      </c>
      <c r="X86" s="134">
        <v>2</v>
      </c>
      <c r="Y86" s="134">
        <v>0</v>
      </c>
      <c r="Z86" s="134">
        <v>0</v>
      </c>
      <c r="AA86" s="134">
        <v>2</v>
      </c>
      <c r="AB86" s="134">
        <v>0.5</v>
      </c>
      <c r="AC86" s="8">
        <v>3</v>
      </c>
    </row>
    <row r="87" spans="8:29" x14ac:dyDescent="0.3">
      <c r="H87" s="134" t="s">
        <v>255</v>
      </c>
      <c r="I87" s="134" t="s">
        <v>593</v>
      </c>
      <c r="J87" s="134" t="s">
        <v>199</v>
      </c>
      <c r="K87" s="134" t="s">
        <v>206</v>
      </c>
      <c r="L87" s="134">
        <v>0</v>
      </c>
      <c r="M87" s="134">
        <v>122</v>
      </c>
      <c r="N87" s="134">
        <v>25</v>
      </c>
      <c r="O87" s="134">
        <v>70000</v>
      </c>
      <c r="P87" s="134">
        <v>0</v>
      </c>
      <c r="Q87" s="134">
        <v>0</v>
      </c>
      <c r="R87" s="134">
        <v>0</v>
      </c>
      <c r="S87" s="134" t="s">
        <v>115</v>
      </c>
      <c r="T87" s="6" t="s">
        <v>255</v>
      </c>
      <c r="U87" s="134" t="s">
        <v>592</v>
      </c>
      <c r="V87" s="134" t="s">
        <v>198</v>
      </c>
      <c r="W87" s="134">
        <v>10</v>
      </c>
      <c r="X87" s="134">
        <v>2</v>
      </c>
      <c r="Y87" s="134">
        <v>0</v>
      </c>
      <c r="Z87" s="134">
        <v>0</v>
      </c>
      <c r="AA87" s="134">
        <v>2</v>
      </c>
      <c r="AB87" s="134">
        <v>0.5</v>
      </c>
      <c r="AC87" s="8">
        <v>3</v>
      </c>
    </row>
    <row r="88" spans="8:29" x14ac:dyDescent="0.3">
      <c r="H88" s="134" t="s">
        <v>255</v>
      </c>
      <c r="I88" s="134" t="s">
        <v>593</v>
      </c>
      <c r="J88" s="134" t="s">
        <v>199</v>
      </c>
      <c r="K88" s="134" t="s">
        <v>198</v>
      </c>
      <c r="L88" s="134">
        <v>0</v>
      </c>
      <c r="M88" s="134">
        <v>122</v>
      </c>
      <c r="N88" s="134">
        <v>25</v>
      </c>
      <c r="O88" s="134">
        <v>70000</v>
      </c>
      <c r="P88" s="134">
        <v>0</v>
      </c>
      <c r="Q88" s="134">
        <v>0</v>
      </c>
      <c r="R88" s="134">
        <v>0</v>
      </c>
      <c r="S88" s="134" t="s">
        <v>115</v>
      </c>
      <c r="T88" s="6" t="s">
        <v>255</v>
      </c>
      <c r="U88" s="134" t="s">
        <v>592</v>
      </c>
      <c r="V88" s="134" t="s">
        <v>190</v>
      </c>
      <c r="W88" s="134">
        <v>10</v>
      </c>
      <c r="X88" s="134">
        <v>2</v>
      </c>
      <c r="Y88" s="134">
        <v>0</v>
      </c>
      <c r="Z88" s="134">
        <v>0</v>
      </c>
      <c r="AA88" s="134">
        <v>2</v>
      </c>
      <c r="AB88" s="134">
        <v>0.5</v>
      </c>
      <c r="AC88" s="8">
        <v>3</v>
      </c>
    </row>
    <row r="89" spans="8:29" x14ac:dyDescent="0.3">
      <c r="H89" s="134" t="s">
        <v>255</v>
      </c>
      <c r="I89" s="134" t="s">
        <v>593</v>
      </c>
      <c r="J89" s="134" t="s">
        <v>199</v>
      </c>
      <c r="K89" s="134" t="s">
        <v>190</v>
      </c>
      <c r="L89" s="134">
        <v>0</v>
      </c>
      <c r="M89" s="134">
        <v>122</v>
      </c>
      <c r="N89" s="134">
        <v>25</v>
      </c>
      <c r="O89" s="134">
        <v>70000</v>
      </c>
      <c r="P89" s="134">
        <v>0</v>
      </c>
      <c r="Q89" s="134">
        <v>0</v>
      </c>
      <c r="R89" s="134">
        <v>7.4999999999999997E-2</v>
      </c>
      <c r="S89" s="134" t="s">
        <v>115</v>
      </c>
      <c r="T89" s="6" t="s">
        <v>255</v>
      </c>
      <c r="U89" s="134" t="s">
        <v>593</v>
      </c>
      <c r="V89" s="134" t="s">
        <v>206</v>
      </c>
      <c r="W89" s="134">
        <v>0.7</v>
      </c>
      <c r="X89" s="134">
        <v>0</v>
      </c>
      <c r="Y89" s="134">
        <v>0</v>
      </c>
      <c r="Z89" s="134">
        <v>0</v>
      </c>
      <c r="AA89" s="134">
        <v>0.3</v>
      </c>
      <c r="AB89" s="134">
        <v>0</v>
      </c>
      <c r="AC89" s="8">
        <v>4.5</v>
      </c>
    </row>
    <row r="90" spans="8:29" x14ac:dyDescent="0.3">
      <c r="H90" s="134" t="s">
        <v>255</v>
      </c>
      <c r="I90" s="134" t="s">
        <v>595</v>
      </c>
      <c r="J90" s="134" t="s">
        <v>199</v>
      </c>
      <c r="K90" s="134" t="s">
        <v>206</v>
      </c>
      <c r="L90" s="134">
        <v>25</v>
      </c>
      <c r="M90" s="134">
        <v>197</v>
      </c>
      <c r="N90" s="134">
        <v>140</v>
      </c>
      <c r="O90" s="134">
        <v>700</v>
      </c>
      <c r="P90" s="134">
        <v>420</v>
      </c>
      <c r="Q90" s="134">
        <v>2400</v>
      </c>
      <c r="R90" s="134">
        <v>0</v>
      </c>
      <c r="S90" s="134" t="s">
        <v>115</v>
      </c>
      <c r="T90" s="6" t="s">
        <v>255</v>
      </c>
      <c r="U90" s="134" t="s">
        <v>593</v>
      </c>
      <c r="V90" s="134" t="s">
        <v>198</v>
      </c>
      <c r="W90" s="134">
        <v>0.7</v>
      </c>
      <c r="X90" s="134">
        <v>0</v>
      </c>
      <c r="Y90" s="134">
        <v>0</v>
      </c>
      <c r="Z90" s="134">
        <v>0</v>
      </c>
      <c r="AA90" s="134">
        <v>0.3</v>
      </c>
      <c r="AB90" s="134">
        <v>0</v>
      </c>
      <c r="AC90" s="8">
        <v>4.5</v>
      </c>
    </row>
    <row r="91" spans="8:29" x14ac:dyDescent="0.3">
      <c r="H91" s="134" t="s">
        <v>255</v>
      </c>
      <c r="I91" s="134" t="s">
        <v>595</v>
      </c>
      <c r="J91" s="134" t="s">
        <v>199</v>
      </c>
      <c r="K91" s="134" t="s">
        <v>198</v>
      </c>
      <c r="L91" s="134">
        <v>25</v>
      </c>
      <c r="M91" s="134">
        <v>197</v>
      </c>
      <c r="N91" s="134">
        <v>180</v>
      </c>
      <c r="O91" s="134">
        <v>2000</v>
      </c>
      <c r="P91" s="134">
        <v>1200</v>
      </c>
      <c r="Q91" s="134">
        <v>2400</v>
      </c>
      <c r="R91" s="134">
        <v>0</v>
      </c>
      <c r="S91" s="134" t="s">
        <v>115</v>
      </c>
      <c r="T91" s="6" t="s">
        <v>255</v>
      </c>
      <c r="U91" s="134" t="s">
        <v>593</v>
      </c>
      <c r="V91" s="134" t="s">
        <v>190</v>
      </c>
      <c r="W91" s="134">
        <v>0.7</v>
      </c>
      <c r="X91" s="134">
        <v>0</v>
      </c>
      <c r="Y91" s="134">
        <v>0</v>
      </c>
      <c r="Z91" s="134">
        <v>0</v>
      </c>
      <c r="AA91" s="134">
        <v>0.3</v>
      </c>
      <c r="AB91" s="134">
        <v>0</v>
      </c>
      <c r="AC91" s="8">
        <v>4.5</v>
      </c>
    </row>
    <row r="92" spans="8:29" x14ac:dyDescent="0.3">
      <c r="H92" s="134" t="s">
        <v>255</v>
      </c>
      <c r="I92" s="134" t="s">
        <v>595</v>
      </c>
      <c r="J92" s="134" t="s">
        <v>199</v>
      </c>
      <c r="K92" s="134" t="s">
        <v>190</v>
      </c>
      <c r="L92" s="134">
        <v>25</v>
      </c>
      <c r="M92" s="134">
        <v>197</v>
      </c>
      <c r="N92" s="134">
        <v>200</v>
      </c>
      <c r="O92" s="134">
        <v>3500</v>
      </c>
      <c r="P92" s="134">
        <v>2100</v>
      </c>
      <c r="Q92" s="134">
        <v>2400</v>
      </c>
      <c r="R92" s="134">
        <v>2.8</v>
      </c>
      <c r="S92" s="134" t="s">
        <v>115</v>
      </c>
      <c r="T92" s="6" t="s">
        <v>255</v>
      </c>
      <c r="U92" s="134" t="s">
        <v>595</v>
      </c>
      <c r="V92" s="134" t="s">
        <v>206</v>
      </c>
      <c r="W92" s="134">
        <v>0.5</v>
      </c>
      <c r="X92" s="134">
        <v>0</v>
      </c>
      <c r="Y92" s="134">
        <v>0</v>
      </c>
      <c r="Z92" s="134">
        <v>0</v>
      </c>
      <c r="AA92" s="134">
        <v>0.3</v>
      </c>
      <c r="AB92" s="134">
        <v>0.1</v>
      </c>
      <c r="AC92" s="8">
        <v>0.3</v>
      </c>
    </row>
    <row r="93" spans="8:29" x14ac:dyDescent="0.3">
      <c r="H93" s="134" t="s">
        <v>255</v>
      </c>
      <c r="I93" s="134" t="s">
        <v>596</v>
      </c>
      <c r="J93" s="134" t="s">
        <v>207</v>
      </c>
      <c r="K93" s="134" t="s">
        <v>206</v>
      </c>
      <c r="L93" s="134">
        <v>0</v>
      </c>
      <c r="M93" s="134">
        <v>0</v>
      </c>
      <c r="N93" s="134">
        <v>300</v>
      </c>
      <c r="O93" s="134">
        <v>1400</v>
      </c>
      <c r="P93" s="134">
        <v>0</v>
      </c>
      <c r="Q93" s="134">
        <v>0</v>
      </c>
      <c r="R93" s="134">
        <v>1.7500000000000002E-2</v>
      </c>
      <c r="S93" s="134" t="s">
        <v>115</v>
      </c>
      <c r="T93" s="6" t="s">
        <v>255</v>
      </c>
      <c r="U93" s="134" t="s">
        <v>595</v>
      </c>
      <c r="V93" s="134" t="s">
        <v>198</v>
      </c>
      <c r="W93" s="134">
        <v>0.6</v>
      </c>
      <c r="X93" s="134">
        <v>0</v>
      </c>
      <c r="Y93" s="134">
        <v>0</v>
      </c>
      <c r="Z93" s="134">
        <v>0</v>
      </c>
      <c r="AA93" s="134">
        <v>0.3</v>
      </c>
      <c r="AB93" s="134">
        <v>0.1</v>
      </c>
      <c r="AC93" s="8">
        <v>0.4</v>
      </c>
    </row>
    <row r="94" spans="8:29" x14ac:dyDescent="0.3">
      <c r="H94" s="134" t="s">
        <v>255</v>
      </c>
      <c r="I94" s="134" t="s">
        <v>596</v>
      </c>
      <c r="J94" s="134" t="s">
        <v>207</v>
      </c>
      <c r="K94" s="134" t="s">
        <v>198</v>
      </c>
      <c r="L94" s="134">
        <v>0</v>
      </c>
      <c r="M94" s="134">
        <v>0</v>
      </c>
      <c r="N94" s="134">
        <v>300</v>
      </c>
      <c r="O94" s="134">
        <v>2100</v>
      </c>
      <c r="P94" s="134">
        <v>0</v>
      </c>
      <c r="Q94" s="134">
        <v>0</v>
      </c>
      <c r="R94" s="134">
        <v>0</v>
      </c>
      <c r="S94" s="134" t="s">
        <v>115</v>
      </c>
      <c r="T94" s="6" t="s">
        <v>255</v>
      </c>
      <c r="U94" s="134" t="s">
        <v>595</v>
      </c>
      <c r="V94" s="134" t="s">
        <v>190</v>
      </c>
      <c r="W94" s="134">
        <v>0.7</v>
      </c>
      <c r="X94" s="134">
        <v>0</v>
      </c>
      <c r="Y94" s="134">
        <v>0</v>
      </c>
      <c r="Z94" s="134">
        <v>0</v>
      </c>
      <c r="AA94" s="134">
        <v>0.3</v>
      </c>
      <c r="AB94" s="134">
        <v>0.1</v>
      </c>
      <c r="AC94" s="8">
        <v>0.5</v>
      </c>
    </row>
    <row r="95" spans="8:29" x14ac:dyDescent="0.3">
      <c r="H95" s="134" t="s">
        <v>255</v>
      </c>
      <c r="I95" s="134" t="s">
        <v>596</v>
      </c>
      <c r="J95" s="134" t="s">
        <v>207</v>
      </c>
      <c r="K95" s="134" t="s">
        <v>190</v>
      </c>
      <c r="L95" s="134">
        <v>0</v>
      </c>
      <c r="M95" s="134">
        <v>0</v>
      </c>
      <c r="N95" s="134">
        <v>300</v>
      </c>
      <c r="O95" s="134">
        <v>3000</v>
      </c>
      <c r="P95" s="134">
        <v>0</v>
      </c>
      <c r="Q95" s="134">
        <v>0</v>
      </c>
      <c r="R95" s="134">
        <v>0</v>
      </c>
      <c r="S95" s="134" t="s">
        <v>115</v>
      </c>
      <c r="T95" s="6" t="s">
        <v>255</v>
      </c>
      <c r="U95" s="134" t="s">
        <v>596</v>
      </c>
      <c r="V95" s="348" t="s">
        <v>206</v>
      </c>
      <c r="W95" s="349">
        <v>3</v>
      </c>
      <c r="X95" s="349">
        <v>0</v>
      </c>
      <c r="Y95" s="349">
        <v>2</v>
      </c>
      <c r="Z95" s="349">
        <v>0</v>
      </c>
      <c r="AA95" s="349">
        <v>0</v>
      </c>
      <c r="AB95" s="349">
        <v>0</v>
      </c>
      <c r="AC95" s="349">
        <v>2</v>
      </c>
    </row>
    <row r="96" spans="8:29" x14ac:dyDescent="0.3">
      <c r="H96" s="134" t="s">
        <v>255</v>
      </c>
      <c r="I96" s="134" t="s">
        <v>598</v>
      </c>
      <c r="J96" s="134" t="s">
        <v>207</v>
      </c>
      <c r="K96" s="134" t="s">
        <v>206</v>
      </c>
      <c r="L96" s="134">
        <v>0</v>
      </c>
      <c r="M96" s="134">
        <v>122</v>
      </c>
      <c r="N96" s="134">
        <v>200</v>
      </c>
      <c r="O96" s="134">
        <v>45000</v>
      </c>
      <c r="P96" s="134">
        <v>35100</v>
      </c>
      <c r="Q96" s="134">
        <v>4400</v>
      </c>
      <c r="R96" s="134">
        <v>0</v>
      </c>
      <c r="S96" s="134" t="s">
        <v>115</v>
      </c>
      <c r="T96" s="6" t="s">
        <v>255</v>
      </c>
      <c r="U96" s="134" t="s">
        <v>596</v>
      </c>
      <c r="V96" s="348" t="s">
        <v>198</v>
      </c>
      <c r="W96" s="349">
        <v>3</v>
      </c>
      <c r="X96" s="349">
        <v>0</v>
      </c>
      <c r="Y96" s="349">
        <v>2</v>
      </c>
      <c r="Z96" s="349">
        <v>2</v>
      </c>
      <c r="AA96" s="349">
        <v>0</v>
      </c>
      <c r="AB96" s="349">
        <v>0</v>
      </c>
      <c r="AC96" s="349">
        <v>2</v>
      </c>
    </row>
    <row r="97" spans="8:29" x14ac:dyDescent="0.3">
      <c r="H97" s="134" t="s">
        <v>255</v>
      </c>
      <c r="I97" s="134" t="s">
        <v>598</v>
      </c>
      <c r="J97" s="134" t="s">
        <v>207</v>
      </c>
      <c r="K97" s="134" t="s">
        <v>198</v>
      </c>
      <c r="L97" s="134">
        <v>0</v>
      </c>
      <c r="M97" s="134">
        <v>122</v>
      </c>
      <c r="N97" s="134">
        <v>200</v>
      </c>
      <c r="O97" s="134">
        <v>45000</v>
      </c>
      <c r="P97" s="134">
        <v>35100</v>
      </c>
      <c r="Q97" s="134">
        <v>4400</v>
      </c>
      <c r="R97" s="134">
        <v>0</v>
      </c>
      <c r="S97" s="134" t="s">
        <v>115</v>
      </c>
      <c r="T97" s="6" t="s">
        <v>255</v>
      </c>
      <c r="U97" s="134" t="s">
        <v>596</v>
      </c>
      <c r="V97" s="348" t="s">
        <v>190</v>
      </c>
      <c r="W97" s="349">
        <v>3</v>
      </c>
      <c r="X97" s="349">
        <v>0</v>
      </c>
      <c r="Y97" s="349">
        <v>2</v>
      </c>
      <c r="Z97" s="349">
        <v>2</v>
      </c>
      <c r="AA97" s="349">
        <v>0</v>
      </c>
      <c r="AB97" s="349">
        <v>0</v>
      </c>
      <c r="AC97" s="349">
        <v>4</v>
      </c>
    </row>
    <row r="98" spans="8:29" x14ac:dyDescent="0.3">
      <c r="H98" s="134" t="s">
        <v>255</v>
      </c>
      <c r="I98" s="134" t="s">
        <v>598</v>
      </c>
      <c r="J98" s="134" t="s">
        <v>207</v>
      </c>
      <c r="K98" s="134" t="s">
        <v>190</v>
      </c>
      <c r="L98" s="134">
        <v>0</v>
      </c>
      <c r="M98" s="134">
        <v>122</v>
      </c>
      <c r="N98" s="134">
        <v>200</v>
      </c>
      <c r="O98" s="134">
        <v>45000</v>
      </c>
      <c r="P98" s="134">
        <v>35100</v>
      </c>
      <c r="Q98" s="134">
        <v>4400</v>
      </c>
      <c r="R98" s="134">
        <v>0.03</v>
      </c>
      <c r="S98" s="134" t="s">
        <v>115</v>
      </c>
      <c r="T98" s="6" t="s">
        <v>255</v>
      </c>
      <c r="U98" s="134" t="s">
        <v>598</v>
      </c>
      <c r="V98" s="348" t="s">
        <v>206</v>
      </c>
      <c r="W98" s="241">
        <v>0.7</v>
      </c>
      <c r="X98" s="241">
        <v>0</v>
      </c>
      <c r="Y98" s="241">
        <v>0</v>
      </c>
      <c r="Z98" s="241">
        <v>0</v>
      </c>
      <c r="AA98" s="241">
        <v>0.3</v>
      </c>
      <c r="AB98" s="241">
        <v>0.5</v>
      </c>
      <c r="AC98" s="240">
        <v>0.8</v>
      </c>
    </row>
    <row r="99" spans="8:29" x14ac:dyDescent="0.3">
      <c r="H99" s="134" t="s">
        <v>255</v>
      </c>
      <c r="I99" s="134" t="s">
        <v>600</v>
      </c>
      <c r="J99" s="134" t="s">
        <v>207</v>
      </c>
      <c r="K99" s="134" t="s">
        <v>206</v>
      </c>
      <c r="L99" s="134">
        <v>0</v>
      </c>
      <c r="M99" s="134">
        <v>6</v>
      </c>
      <c r="N99" s="134">
        <v>120</v>
      </c>
      <c r="O99" s="134">
        <v>1800</v>
      </c>
      <c r="P99" s="134">
        <v>0</v>
      </c>
      <c r="Q99" s="134">
        <v>4000</v>
      </c>
      <c r="R99" s="134">
        <v>0</v>
      </c>
      <c r="S99" s="134" t="s">
        <v>115</v>
      </c>
      <c r="T99" s="6" t="s">
        <v>255</v>
      </c>
      <c r="U99" s="134" t="s">
        <v>598</v>
      </c>
      <c r="V99" s="348" t="s">
        <v>198</v>
      </c>
      <c r="W99" s="241">
        <v>0.7</v>
      </c>
      <c r="X99" s="241">
        <v>0</v>
      </c>
      <c r="Y99" s="241">
        <v>0</v>
      </c>
      <c r="Z99" s="241">
        <v>0</v>
      </c>
      <c r="AA99" s="241">
        <v>0.3</v>
      </c>
      <c r="AB99" s="241">
        <v>0.5</v>
      </c>
      <c r="AC99" s="240">
        <v>0.8</v>
      </c>
    </row>
    <row r="100" spans="8:29" x14ac:dyDescent="0.3">
      <c r="H100" s="134" t="s">
        <v>255</v>
      </c>
      <c r="I100" s="134" t="s">
        <v>600</v>
      </c>
      <c r="J100" s="134" t="s">
        <v>207</v>
      </c>
      <c r="K100" s="134" t="s">
        <v>198</v>
      </c>
      <c r="L100" s="134">
        <v>0</v>
      </c>
      <c r="M100" s="134">
        <v>6</v>
      </c>
      <c r="N100" s="134">
        <v>120</v>
      </c>
      <c r="O100" s="134">
        <v>1800</v>
      </c>
      <c r="P100" s="134">
        <v>0</v>
      </c>
      <c r="Q100" s="134">
        <v>4000</v>
      </c>
      <c r="R100" s="134">
        <v>0</v>
      </c>
      <c r="S100" s="134" t="s">
        <v>115</v>
      </c>
      <c r="T100" s="6" t="s">
        <v>255</v>
      </c>
      <c r="U100" s="134" t="s">
        <v>598</v>
      </c>
      <c r="V100" s="348" t="s">
        <v>190</v>
      </c>
      <c r="W100" s="241">
        <v>0.7</v>
      </c>
      <c r="X100" s="241">
        <v>0</v>
      </c>
      <c r="Y100" s="241">
        <v>0</v>
      </c>
      <c r="Z100" s="241">
        <v>0</v>
      </c>
      <c r="AA100" s="241">
        <v>0.3</v>
      </c>
      <c r="AB100" s="241">
        <v>0.5</v>
      </c>
      <c r="AC100" s="240">
        <v>0.8</v>
      </c>
    </row>
    <row r="101" spans="8:29" x14ac:dyDescent="0.3">
      <c r="H101" s="134" t="s">
        <v>255</v>
      </c>
      <c r="I101" s="134" t="s">
        <v>600</v>
      </c>
      <c r="J101" s="134" t="s">
        <v>207</v>
      </c>
      <c r="K101" s="134" t="s">
        <v>190</v>
      </c>
      <c r="L101" s="134">
        <v>0</v>
      </c>
      <c r="M101" s="134">
        <v>6</v>
      </c>
      <c r="N101" s="134">
        <v>120</v>
      </c>
      <c r="O101" s="134">
        <v>1800</v>
      </c>
      <c r="P101" s="134">
        <v>0</v>
      </c>
      <c r="Q101" s="134">
        <v>4000</v>
      </c>
      <c r="R101" s="134">
        <v>3.5000000000000003E-2</v>
      </c>
      <c r="S101" s="134" t="s">
        <v>115</v>
      </c>
      <c r="T101" s="6" t="s">
        <v>255</v>
      </c>
      <c r="U101" s="134" t="s">
        <v>600</v>
      </c>
      <c r="V101" s="348" t="s">
        <v>206</v>
      </c>
      <c r="W101" s="241">
        <v>10</v>
      </c>
      <c r="X101" s="241">
        <v>2</v>
      </c>
      <c r="Y101" s="241">
        <v>0</v>
      </c>
      <c r="Z101" s="241">
        <v>0</v>
      </c>
      <c r="AA101" s="241">
        <v>2</v>
      </c>
      <c r="AB101" s="241">
        <v>0.5</v>
      </c>
      <c r="AC101" s="240">
        <v>3</v>
      </c>
    </row>
    <row r="102" spans="8:29" x14ac:dyDescent="0.3">
      <c r="H102" s="134" t="s">
        <v>255</v>
      </c>
      <c r="I102" s="134" t="s">
        <v>601</v>
      </c>
      <c r="J102" s="134" t="s">
        <v>199</v>
      </c>
      <c r="K102" s="134" t="s">
        <v>206</v>
      </c>
      <c r="L102" s="134">
        <v>0</v>
      </c>
      <c r="M102" s="134">
        <v>0</v>
      </c>
      <c r="N102" s="134">
        <v>2200</v>
      </c>
      <c r="O102" s="134">
        <v>7500</v>
      </c>
      <c r="P102" s="134">
        <v>0</v>
      </c>
      <c r="Q102" s="134">
        <v>0</v>
      </c>
      <c r="R102" s="134">
        <v>0</v>
      </c>
      <c r="S102" s="134" t="s">
        <v>115</v>
      </c>
      <c r="T102" s="6" t="s">
        <v>255</v>
      </c>
      <c r="U102" s="134" t="s">
        <v>600</v>
      </c>
      <c r="V102" s="348" t="s">
        <v>198</v>
      </c>
      <c r="W102" s="241">
        <v>10</v>
      </c>
      <c r="X102" s="241">
        <v>2</v>
      </c>
      <c r="Y102" s="241">
        <v>0</v>
      </c>
      <c r="Z102" s="241">
        <v>0</v>
      </c>
      <c r="AA102" s="241">
        <v>2</v>
      </c>
      <c r="AB102" s="241">
        <v>0.5</v>
      </c>
      <c r="AC102" s="240">
        <v>3</v>
      </c>
    </row>
    <row r="103" spans="8:29" x14ac:dyDescent="0.3">
      <c r="H103" s="134" t="s">
        <v>255</v>
      </c>
      <c r="I103" s="134" t="s">
        <v>601</v>
      </c>
      <c r="J103" s="134" t="s">
        <v>199</v>
      </c>
      <c r="K103" s="134" t="s">
        <v>198</v>
      </c>
      <c r="L103" s="134">
        <v>0</v>
      </c>
      <c r="M103" s="134">
        <v>0</v>
      </c>
      <c r="N103" s="134">
        <v>2200</v>
      </c>
      <c r="O103" s="134">
        <v>10000</v>
      </c>
      <c r="P103" s="134">
        <v>0</v>
      </c>
      <c r="Q103" s="134">
        <v>0</v>
      </c>
      <c r="R103" s="134">
        <v>0</v>
      </c>
      <c r="S103" s="134" t="s">
        <v>115</v>
      </c>
      <c r="T103" s="6" t="s">
        <v>255</v>
      </c>
      <c r="U103" s="134" t="s">
        <v>600</v>
      </c>
      <c r="V103" s="348" t="s">
        <v>190</v>
      </c>
      <c r="W103" s="241">
        <v>10</v>
      </c>
      <c r="X103" s="241">
        <v>2</v>
      </c>
      <c r="Y103" s="241">
        <v>0</v>
      </c>
      <c r="Z103" s="241">
        <v>0</v>
      </c>
      <c r="AA103" s="241">
        <v>2</v>
      </c>
      <c r="AB103" s="241">
        <v>0.5</v>
      </c>
      <c r="AC103" s="240">
        <v>3</v>
      </c>
    </row>
    <row r="104" spans="8:29" x14ac:dyDescent="0.3">
      <c r="H104" s="134" t="s">
        <v>255</v>
      </c>
      <c r="I104" s="134" t="s">
        <v>601</v>
      </c>
      <c r="J104" s="134" t="s">
        <v>199</v>
      </c>
      <c r="K104" s="134" t="s">
        <v>190</v>
      </c>
      <c r="L104" s="134">
        <v>0</v>
      </c>
      <c r="M104" s="134">
        <v>0</v>
      </c>
      <c r="N104" s="134">
        <v>2200</v>
      </c>
      <c r="O104" s="134">
        <v>15000</v>
      </c>
      <c r="P104" s="134">
        <v>0</v>
      </c>
      <c r="Q104" s="134">
        <v>0</v>
      </c>
      <c r="R104" s="134">
        <v>5.0000000000000001E-3</v>
      </c>
      <c r="S104" s="134" t="s">
        <v>115</v>
      </c>
      <c r="T104" s="6" t="s">
        <v>255</v>
      </c>
      <c r="U104" s="134" t="s">
        <v>601</v>
      </c>
      <c r="V104" s="134" t="s">
        <v>206</v>
      </c>
      <c r="W104" s="241">
        <v>15</v>
      </c>
      <c r="X104" s="241">
        <v>4.5</v>
      </c>
      <c r="Y104" s="241">
        <v>0</v>
      </c>
      <c r="Z104" s="241">
        <v>0</v>
      </c>
      <c r="AA104" s="241">
        <v>2</v>
      </c>
      <c r="AB104" s="241">
        <v>0</v>
      </c>
      <c r="AC104" s="240">
        <v>10</v>
      </c>
    </row>
    <row r="105" spans="8:29" x14ac:dyDescent="0.3">
      <c r="H105" s="134" t="s">
        <v>255</v>
      </c>
      <c r="I105" s="134" t="s">
        <v>622</v>
      </c>
      <c r="J105" s="134" t="s">
        <v>199</v>
      </c>
      <c r="K105" s="134" t="s">
        <v>206</v>
      </c>
      <c r="L105" s="134">
        <v>25</v>
      </c>
      <c r="M105" s="134">
        <v>197</v>
      </c>
      <c r="N105" s="134">
        <v>200</v>
      </c>
      <c r="O105" s="134">
        <v>1800</v>
      </c>
      <c r="P105" s="134">
        <v>1080</v>
      </c>
      <c r="Q105" s="134">
        <v>2400</v>
      </c>
      <c r="R105" s="134">
        <v>0</v>
      </c>
      <c r="S105" s="134" t="s">
        <v>115</v>
      </c>
      <c r="T105" s="6" t="s">
        <v>255</v>
      </c>
      <c r="U105" s="134" t="s">
        <v>601</v>
      </c>
      <c r="V105" s="134" t="s">
        <v>198</v>
      </c>
      <c r="W105" s="241">
        <v>15</v>
      </c>
      <c r="X105" s="241">
        <v>4.5</v>
      </c>
      <c r="Y105" s="241">
        <v>0</v>
      </c>
      <c r="Z105" s="241">
        <v>0</v>
      </c>
      <c r="AA105" s="241">
        <v>2</v>
      </c>
      <c r="AB105" s="241">
        <v>0</v>
      </c>
      <c r="AC105" s="240">
        <v>10</v>
      </c>
    </row>
    <row r="106" spans="8:29" x14ac:dyDescent="0.3">
      <c r="H106" s="134" t="s">
        <v>255</v>
      </c>
      <c r="I106" s="134" t="s">
        <v>622</v>
      </c>
      <c r="J106" s="134" t="s">
        <v>199</v>
      </c>
      <c r="K106" s="134" t="s">
        <v>198</v>
      </c>
      <c r="L106" s="134">
        <v>25</v>
      </c>
      <c r="M106" s="134">
        <v>197</v>
      </c>
      <c r="N106" s="134">
        <v>200</v>
      </c>
      <c r="O106" s="134">
        <v>3000</v>
      </c>
      <c r="P106" s="134">
        <v>1800</v>
      </c>
      <c r="Q106" s="134">
        <v>2400</v>
      </c>
      <c r="R106" s="134">
        <v>0</v>
      </c>
      <c r="S106" s="134" t="s">
        <v>115</v>
      </c>
      <c r="T106" s="6" t="s">
        <v>255</v>
      </c>
      <c r="U106" s="134" t="s">
        <v>601</v>
      </c>
      <c r="V106" s="134" t="s">
        <v>190</v>
      </c>
      <c r="W106" s="241">
        <v>15</v>
      </c>
      <c r="X106" s="241">
        <v>4.5</v>
      </c>
      <c r="Y106" s="241">
        <v>0</v>
      </c>
      <c r="Z106" s="241">
        <v>0</v>
      </c>
      <c r="AA106" s="241">
        <v>2</v>
      </c>
      <c r="AB106" s="241">
        <v>0</v>
      </c>
      <c r="AC106" s="240">
        <v>10</v>
      </c>
    </row>
    <row r="107" spans="8:29" x14ac:dyDescent="0.3">
      <c r="H107" s="134" t="s">
        <v>255</v>
      </c>
      <c r="I107" s="134" t="s">
        <v>622</v>
      </c>
      <c r="J107" s="134" t="s">
        <v>199</v>
      </c>
      <c r="K107" s="134" t="s">
        <v>190</v>
      </c>
      <c r="L107" s="134">
        <v>25</v>
      </c>
      <c r="M107" s="134">
        <v>197</v>
      </c>
      <c r="N107" s="134">
        <v>200</v>
      </c>
      <c r="O107" s="134">
        <v>4000</v>
      </c>
      <c r="P107" s="134">
        <v>2400</v>
      </c>
      <c r="Q107" s="134">
        <v>2400</v>
      </c>
      <c r="R107" s="134">
        <v>1.5</v>
      </c>
      <c r="S107" s="134" t="s">
        <v>115</v>
      </c>
      <c r="T107" s="6" t="s">
        <v>255</v>
      </c>
      <c r="U107" s="134" t="s">
        <v>622</v>
      </c>
      <c r="V107" s="134" t="s">
        <v>206</v>
      </c>
      <c r="W107" s="241">
        <v>0.5</v>
      </c>
      <c r="X107" s="241">
        <v>0</v>
      </c>
      <c r="Y107" s="241">
        <v>0</v>
      </c>
      <c r="Z107" s="241">
        <v>0</v>
      </c>
      <c r="AA107" s="241">
        <v>0.3</v>
      </c>
      <c r="AB107" s="241">
        <v>0</v>
      </c>
      <c r="AC107" s="240">
        <v>0.3</v>
      </c>
    </row>
    <row r="108" spans="8:29" x14ac:dyDescent="0.3">
      <c r="H108" s="134" t="s">
        <v>255</v>
      </c>
      <c r="I108" s="134" t="s">
        <v>603</v>
      </c>
      <c r="J108" s="134" t="s">
        <v>199</v>
      </c>
      <c r="K108" s="134" t="s">
        <v>206</v>
      </c>
      <c r="L108" s="134">
        <v>25</v>
      </c>
      <c r="M108" s="134">
        <v>62.6</v>
      </c>
      <c r="N108" s="134">
        <v>6000</v>
      </c>
      <c r="O108" s="134">
        <v>25000</v>
      </c>
      <c r="P108" s="134">
        <v>35000</v>
      </c>
      <c r="Q108" s="134">
        <v>26600</v>
      </c>
      <c r="R108" s="134">
        <v>0</v>
      </c>
      <c r="S108" s="134" t="s">
        <v>115</v>
      </c>
      <c r="T108" s="6" t="s">
        <v>255</v>
      </c>
      <c r="U108" s="134" t="s">
        <v>622</v>
      </c>
      <c r="V108" s="134" t="s">
        <v>198</v>
      </c>
      <c r="W108" s="241">
        <v>0.6</v>
      </c>
      <c r="X108" s="241">
        <v>0</v>
      </c>
      <c r="Y108" s="241">
        <v>0</v>
      </c>
      <c r="Z108" s="241">
        <v>0</v>
      </c>
      <c r="AA108" s="241">
        <v>0.3</v>
      </c>
      <c r="AB108" s="241">
        <v>0.1</v>
      </c>
      <c r="AC108" s="240">
        <v>0.4</v>
      </c>
    </row>
    <row r="109" spans="8:29" x14ac:dyDescent="0.3">
      <c r="H109" s="134" t="s">
        <v>255</v>
      </c>
      <c r="I109" s="134" t="s">
        <v>603</v>
      </c>
      <c r="J109" s="134" t="s">
        <v>199</v>
      </c>
      <c r="K109" s="134" t="s">
        <v>198</v>
      </c>
      <c r="L109" s="134">
        <v>25</v>
      </c>
      <c r="M109" s="134">
        <v>92.5</v>
      </c>
      <c r="N109" s="134">
        <v>6000</v>
      </c>
      <c r="O109" s="134">
        <v>50000</v>
      </c>
      <c r="P109" s="134">
        <v>70000</v>
      </c>
      <c r="Q109" s="134">
        <v>38400</v>
      </c>
      <c r="R109" s="134">
        <v>0</v>
      </c>
      <c r="S109" s="134" t="s">
        <v>115</v>
      </c>
      <c r="T109" s="6" t="s">
        <v>255</v>
      </c>
      <c r="U109" s="134" t="s">
        <v>622</v>
      </c>
      <c r="V109" s="134" t="s">
        <v>190</v>
      </c>
      <c r="W109" s="241">
        <v>0.7</v>
      </c>
      <c r="X109" s="241">
        <v>0</v>
      </c>
      <c r="Y109" s="241">
        <v>0</v>
      </c>
      <c r="Z109" s="241">
        <v>0</v>
      </c>
      <c r="AA109" s="241">
        <v>0.3</v>
      </c>
      <c r="AB109" s="241">
        <v>0.1</v>
      </c>
      <c r="AC109" s="240">
        <v>0.5</v>
      </c>
    </row>
    <row r="110" spans="8:29" x14ac:dyDescent="0.3">
      <c r="H110" s="134" t="s">
        <v>255</v>
      </c>
      <c r="I110" s="134" t="s">
        <v>603</v>
      </c>
      <c r="J110" s="134" t="s">
        <v>199</v>
      </c>
      <c r="K110" s="134" t="s">
        <v>190</v>
      </c>
      <c r="L110" s="134">
        <v>25</v>
      </c>
      <c r="M110" s="134">
        <v>109.8</v>
      </c>
      <c r="N110" s="134">
        <v>6000</v>
      </c>
      <c r="O110" s="134">
        <v>80000</v>
      </c>
      <c r="P110" s="134">
        <v>112000</v>
      </c>
      <c r="Q110" s="134">
        <v>40500</v>
      </c>
      <c r="R110" s="134">
        <v>0.65375000000000005</v>
      </c>
      <c r="S110" s="134" t="s">
        <v>115</v>
      </c>
      <c r="T110" s="6" t="s">
        <v>255</v>
      </c>
      <c r="U110" s="134" t="s">
        <v>603</v>
      </c>
      <c r="V110" s="134" t="s">
        <v>206</v>
      </c>
      <c r="W110" s="241">
        <v>0.6</v>
      </c>
      <c r="X110" s="241">
        <v>0</v>
      </c>
      <c r="Y110" s="241">
        <v>0</v>
      </c>
      <c r="Z110" s="241">
        <v>0</v>
      </c>
      <c r="AA110" s="241">
        <v>0.2</v>
      </c>
      <c r="AB110" s="241">
        <v>0.1</v>
      </c>
      <c r="AC110" s="240">
        <v>0.8</v>
      </c>
    </row>
    <row r="111" spans="8:29" x14ac:dyDescent="0.3">
      <c r="H111" s="134" t="s">
        <v>255</v>
      </c>
      <c r="I111" s="134" t="s">
        <v>604</v>
      </c>
      <c r="J111" s="134" t="s">
        <v>623</v>
      </c>
      <c r="K111" s="134" t="s">
        <v>206</v>
      </c>
      <c r="L111" s="134">
        <v>0</v>
      </c>
      <c r="M111" s="134">
        <v>0</v>
      </c>
      <c r="N111" s="134">
        <v>25000</v>
      </c>
      <c r="O111" s="134">
        <v>7500</v>
      </c>
      <c r="P111" s="134">
        <v>0</v>
      </c>
      <c r="Q111" s="134">
        <v>0</v>
      </c>
      <c r="R111" s="134">
        <v>0</v>
      </c>
      <c r="S111" s="134" t="s">
        <v>115</v>
      </c>
      <c r="T111" s="6" t="s">
        <v>255</v>
      </c>
      <c r="U111" s="134" t="s">
        <v>603</v>
      </c>
      <c r="V111" s="134" t="s">
        <v>198</v>
      </c>
      <c r="W111" s="241">
        <v>0.7</v>
      </c>
      <c r="X111" s="241">
        <v>0</v>
      </c>
      <c r="Y111" s="241">
        <v>0</v>
      </c>
      <c r="Z111" s="241">
        <v>0</v>
      </c>
      <c r="AA111" s="241">
        <v>0.3</v>
      </c>
      <c r="AB111" s="241">
        <v>0.2</v>
      </c>
      <c r="AC111" s="240">
        <v>1</v>
      </c>
    </row>
    <row r="112" spans="8:29" x14ac:dyDescent="0.3">
      <c r="H112" s="134" t="s">
        <v>255</v>
      </c>
      <c r="I112" s="134" t="s">
        <v>604</v>
      </c>
      <c r="J112" s="134" t="s">
        <v>207</v>
      </c>
      <c r="K112" s="134" t="s">
        <v>198</v>
      </c>
      <c r="L112" s="134">
        <v>0</v>
      </c>
      <c r="M112" s="134">
        <v>0</v>
      </c>
      <c r="N112" s="134">
        <v>25000</v>
      </c>
      <c r="O112" s="134">
        <v>10000</v>
      </c>
      <c r="P112" s="134">
        <v>0</v>
      </c>
      <c r="Q112" s="134">
        <v>0</v>
      </c>
      <c r="R112" s="134">
        <v>0</v>
      </c>
      <c r="S112" s="134" t="s">
        <v>115</v>
      </c>
      <c r="T112" s="6" t="s">
        <v>255</v>
      </c>
      <c r="U112" s="134" t="s">
        <v>603</v>
      </c>
      <c r="V112" s="134" t="s">
        <v>190</v>
      </c>
      <c r="W112" s="241">
        <v>0.7</v>
      </c>
      <c r="X112" s="241">
        <v>0</v>
      </c>
      <c r="Y112" s="241">
        <v>0</v>
      </c>
      <c r="Z112" s="241">
        <v>0</v>
      </c>
      <c r="AA112" s="241">
        <v>0.3</v>
      </c>
      <c r="AB112" s="241">
        <v>0.3</v>
      </c>
      <c r="AC112" s="240">
        <v>1.4</v>
      </c>
    </row>
    <row r="113" spans="8:29" x14ac:dyDescent="0.3">
      <c r="H113" s="134" t="s">
        <v>255</v>
      </c>
      <c r="I113" s="134" t="s">
        <v>604</v>
      </c>
      <c r="J113" s="134" t="s">
        <v>207</v>
      </c>
      <c r="K113" s="134" t="s">
        <v>190</v>
      </c>
      <c r="L113" s="134">
        <v>0</v>
      </c>
      <c r="M113" s="134">
        <v>180</v>
      </c>
      <c r="N113" s="134">
        <v>25000</v>
      </c>
      <c r="O113" s="134">
        <v>15000</v>
      </c>
      <c r="P113" s="134">
        <v>0</v>
      </c>
      <c r="Q113" s="134">
        <v>10700</v>
      </c>
      <c r="R113" s="134">
        <v>0.06</v>
      </c>
      <c r="S113" s="134" t="s">
        <v>115</v>
      </c>
      <c r="T113" s="6" t="s">
        <v>255</v>
      </c>
      <c r="U113" s="134" t="s">
        <v>604</v>
      </c>
      <c r="V113" s="134" t="s">
        <v>206</v>
      </c>
      <c r="W113" s="241">
        <v>15</v>
      </c>
      <c r="X113" s="241">
        <v>5</v>
      </c>
      <c r="Y113" s="241">
        <v>0</v>
      </c>
      <c r="Z113" s="241">
        <v>0</v>
      </c>
      <c r="AA113" s="241">
        <v>2</v>
      </c>
      <c r="AB113" s="241">
        <v>0</v>
      </c>
      <c r="AC113" s="240">
        <v>6</v>
      </c>
    </row>
    <row r="114" spans="8:29" x14ac:dyDescent="0.3">
      <c r="H114" s="134" t="s">
        <v>588</v>
      </c>
      <c r="I114" s="134" t="s">
        <v>590</v>
      </c>
      <c r="J114" s="134" t="s">
        <v>199</v>
      </c>
      <c r="K114" s="134" t="s">
        <v>206</v>
      </c>
      <c r="L114" s="134">
        <v>0</v>
      </c>
      <c r="M114" s="134">
        <v>200</v>
      </c>
      <c r="N114" s="134">
        <v>25</v>
      </c>
      <c r="O114" s="134">
        <v>80000</v>
      </c>
      <c r="P114" s="134">
        <v>0</v>
      </c>
      <c r="Q114" s="134">
        <v>0</v>
      </c>
      <c r="R114" s="134">
        <v>0</v>
      </c>
      <c r="S114" s="134" t="s">
        <v>115</v>
      </c>
      <c r="T114" s="6" t="s">
        <v>255</v>
      </c>
      <c r="U114" s="134" t="s">
        <v>604</v>
      </c>
      <c r="V114" s="134" t="s">
        <v>198</v>
      </c>
      <c r="W114" s="241">
        <v>15</v>
      </c>
      <c r="X114" s="241">
        <v>5</v>
      </c>
      <c r="Y114" s="241">
        <v>0</v>
      </c>
      <c r="Z114" s="241">
        <v>0</v>
      </c>
      <c r="AA114" s="241">
        <v>2</v>
      </c>
      <c r="AB114" s="241">
        <v>0.5</v>
      </c>
      <c r="AC114" s="240">
        <v>6</v>
      </c>
    </row>
    <row r="115" spans="8:29" x14ac:dyDescent="0.3">
      <c r="H115" s="134" t="s">
        <v>588</v>
      </c>
      <c r="I115" s="134" t="s">
        <v>590</v>
      </c>
      <c r="J115" s="134" t="s">
        <v>199</v>
      </c>
      <c r="K115" s="134" t="s">
        <v>198</v>
      </c>
      <c r="L115" s="134">
        <v>0</v>
      </c>
      <c r="M115" s="134">
        <v>200</v>
      </c>
      <c r="N115" s="134">
        <v>25</v>
      </c>
      <c r="O115" s="134">
        <v>80000</v>
      </c>
      <c r="P115" s="134">
        <v>0</v>
      </c>
      <c r="Q115" s="134">
        <v>0</v>
      </c>
      <c r="R115" s="134">
        <v>0</v>
      </c>
      <c r="S115" s="134" t="s">
        <v>115</v>
      </c>
      <c r="T115" s="6" t="s">
        <v>255</v>
      </c>
      <c r="U115" s="134" t="s">
        <v>604</v>
      </c>
      <c r="V115" s="134" t="s">
        <v>190</v>
      </c>
      <c r="W115" s="241">
        <v>15</v>
      </c>
      <c r="X115" s="241">
        <v>5</v>
      </c>
      <c r="Y115" s="241">
        <v>0</v>
      </c>
      <c r="Z115" s="241">
        <v>0</v>
      </c>
      <c r="AA115" s="241">
        <v>2</v>
      </c>
      <c r="AB115" s="241">
        <v>0.5</v>
      </c>
      <c r="AC115" s="240">
        <v>6</v>
      </c>
    </row>
    <row r="116" spans="8:29" ht="15" thickBot="1" x14ac:dyDescent="0.35">
      <c r="H116" s="134" t="s">
        <v>588</v>
      </c>
      <c r="I116" s="134" t="s">
        <v>590</v>
      </c>
      <c r="J116" s="134" t="s">
        <v>199</v>
      </c>
      <c r="K116" s="134" t="s">
        <v>190</v>
      </c>
      <c r="L116" s="134">
        <v>0</v>
      </c>
      <c r="M116" s="134">
        <v>200</v>
      </c>
      <c r="N116" s="134">
        <v>25</v>
      </c>
      <c r="O116" s="134">
        <v>80000</v>
      </c>
      <c r="P116" s="134">
        <v>0</v>
      </c>
      <c r="Q116" s="134">
        <v>0</v>
      </c>
      <c r="R116" s="134">
        <v>4.6300000000000001E-2</v>
      </c>
      <c r="S116" s="134" t="s">
        <v>115</v>
      </c>
      <c r="T116" s="6" t="s">
        <v>588</v>
      </c>
      <c r="U116" s="358" t="s">
        <v>604</v>
      </c>
      <c r="V116" s="359" t="s">
        <v>206</v>
      </c>
      <c r="W116" s="241">
        <v>15</v>
      </c>
      <c r="X116" s="241">
        <v>5</v>
      </c>
      <c r="Y116" s="241">
        <v>0</v>
      </c>
      <c r="Z116" s="241">
        <v>0</v>
      </c>
      <c r="AA116" s="241">
        <v>2</v>
      </c>
      <c r="AB116" s="241">
        <v>0</v>
      </c>
      <c r="AC116" s="240">
        <v>6</v>
      </c>
    </row>
    <row r="117" spans="8:29" ht="15.6" thickTop="1" thickBot="1" x14ac:dyDescent="0.35">
      <c r="H117" s="134" t="s">
        <v>588</v>
      </c>
      <c r="I117" s="134" t="s">
        <v>591</v>
      </c>
      <c r="J117" s="134" t="s">
        <v>207</v>
      </c>
      <c r="K117" s="134" t="s">
        <v>206</v>
      </c>
      <c r="L117" s="134">
        <v>25</v>
      </c>
      <c r="M117" s="134">
        <v>200</v>
      </c>
      <c r="N117" s="134">
        <v>140</v>
      </c>
      <c r="O117" s="134">
        <v>2000</v>
      </c>
      <c r="P117" s="134">
        <v>1440</v>
      </c>
      <c r="Q117" s="134">
        <v>12500</v>
      </c>
      <c r="R117" s="134">
        <v>0</v>
      </c>
      <c r="S117" s="134" t="s">
        <v>115</v>
      </c>
      <c r="T117" s="6" t="s">
        <v>588</v>
      </c>
      <c r="U117" s="358" t="s">
        <v>604</v>
      </c>
      <c r="V117" s="359" t="s">
        <v>198</v>
      </c>
      <c r="W117" s="241">
        <v>15</v>
      </c>
      <c r="X117" s="241">
        <v>5</v>
      </c>
      <c r="Y117" s="241">
        <v>0</v>
      </c>
      <c r="Z117" s="241">
        <v>0</v>
      </c>
      <c r="AA117" s="241">
        <v>2</v>
      </c>
      <c r="AB117" s="241">
        <v>0.5</v>
      </c>
      <c r="AC117" s="240">
        <v>6</v>
      </c>
    </row>
    <row r="118" spans="8:29" ht="15.6" thickTop="1" thickBot="1" x14ac:dyDescent="0.35">
      <c r="H118" s="134" t="s">
        <v>588</v>
      </c>
      <c r="I118" s="134" t="s">
        <v>591</v>
      </c>
      <c r="J118" s="134" t="s">
        <v>207</v>
      </c>
      <c r="K118" s="134" t="s">
        <v>198</v>
      </c>
      <c r="L118" s="134">
        <v>25</v>
      </c>
      <c r="M118" s="134">
        <v>200</v>
      </c>
      <c r="N118" s="134">
        <v>140</v>
      </c>
      <c r="O118" s="134">
        <v>2000</v>
      </c>
      <c r="P118" s="134">
        <v>1440</v>
      </c>
      <c r="Q118" s="134">
        <v>12500</v>
      </c>
      <c r="R118" s="134">
        <v>0</v>
      </c>
      <c r="S118" s="134" t="s">
        <v>115</v>
      </c>
      <c r="T118" s="6" t="s">
        <v>588</v>
      </c>
      <c r="U118" s="358" t="s">
        <v>604</v>
      </c>
      <c r="V118" s="359" t="s">
        <v>190</v>
      </c>
      <c r="W118" s="241">
        <v>15</v>
      </c>
      <c r="X118" s="241">
        <v>5</v>
      </c>
      <c r="Y118" s="241">
        <v>0</v>
      </c>
      <c r="Z118" s="241">
        <v>0</v>
      </c>
      <c r="AA118" s="241">
        <v>2</v>
      </c>
      <c r="AB118" s="241">
        <v>0.5</v>
      </c>
      <c r="AC118" s="240">
        <v>6</v>
      </c>
    </row>
    <row r="119" spans="8:29" ht="15" thickTop="1" x14ac:dyDescent="0.3">
      <c r="H119" s="134" t="s">
        <v>588</v>
      </c>
      <c r="I119" s="134" t="s">
        <v>591</v>
      </c>
      <c r="J119" s="134" t="s">
        <v>207</v>
      </c>
      <c r="K119" s="134" t="s">
        <v>190</v>
      </c>
      <c r="L119" s="134">
        <v>25</v>
      </c>
      <c r="M119" s="134">
        <v>200</v>
      </c>
      <c r="N119" s="134">
        <v>140</v>
      </c>
      <c r="O119" s="134">
        <v>3500</v>
      </c>
      <c r="P119" s="134">
        <v>2520</v>
      </c>
      <c r="Q119" s="134">
        <v>12500</v>
      </c>
      <c r="R119" s="134">
        <v>0.96</v>
      </c>
      <c r="S119" s="134" t="s">
        <v>115</v>
      </c>
      <c r="T119" s="6" t="s">
        <v>588</v>
      </c>
      <c r="U119" s="134" t="s">
        <v>597</v>
      </c>
      <c r="V119" s="244" t="s">
        <v>206</v>
      </c>
      <c r="W119" s="349">
        <v>0.7</v>
      </c>
      <c r="X119" s="349">
        <v>0</v>
      </c>
      <c r="Y119" s="349">
        <v>0</v>
      </c>
      <c r="Z119" s="349">
        <v>0</v>
      </c>
      <c r="AA119" s="349">
        <v>0.3</v>
      </c>
      <c r="AB119" s="349">
        <v>0.1</v>
      </c>
      <c r="AC119" s="349">
        <v>0.8</v>
      </c>
    </row>
    <row r="120" spans="8:29" x14ac:dyDescent="0.3">
      <c r="H120" s="134" t="s">
        <v>588</v>
      </c>
      <c r="I120" s="134" t="s">
        <v>592</v>
      </c>
      <c r="J120" s="134" t="s">
        <v>199</v>
      </c>
      <c r="K120" s="134" t="s">
        <v>206</v>
      </c>
      <c r="L120" s="134">
        <v>7</v>
      </c>
      <c r="M120" s="134">
        <v>200</v>
      </c>
      <c r="N120" s="134">
        <v>100</v>
      </c>
      <c r="O120" s="134">
        <v>2000</v>
      </c>
      <c r="P120" s="134">
        <v>0</v>
      </c>
      <c r="Q120" s="134">
        <v>40000</v>
      </c>
      <c r="R120" s="134">
        <v>0</v>
      </c>
      <c r="S120" s="134" t="s">
        <v>115</v>
      </c>
      <c r="T120" s="6" t="s">
        <v>588</v>
      </c>
      <c r="U120" s="134" t="s">
        <v>597</v>
      </c>
      <c r="V120" s="244" t="s">
        <v>198</v>
      </c>
      <c r="W120" s="349">
        <v>0.7</v>
      </c>
      <c r="X120" s="349">
        <v>0</v>
      </c>
      <c r="Y120" s="349">
        <v>0</v>
      </c>
      <c r="Z120" s="349">
        <v>0</v>
      </c>
      <c r="AA120" s="349">
        <v>0.3</v>
      </c>
      <c r="AB120" s="349">
        <v>0.1</v>
      </c>
      <c r="AC120" s="349">
        <v>0.8</v>
      </c>
    </row>
    <row r="121" spans="8:29" x14ac:dyDescent="0.3">
      <c r="H121" s="134" t="s">
        <v>588</v>
      </c>
      <c r="I121" s="134" t="s">
        <v>592</v>
      </c>
      <c r="J121" s="134" t="s">
        <v>199</v>
      </c>
      <c r="K121" s="134" t="s">
        <v>198</v>
      </c>
      <c r="L121" s="134">
        <v>7</v>
      </c>
      <c r="M121" s="134">
        <v>200</v>
      </c>
      <c r="N121" s="134">
        <v>100</v>
      </c>
      <c r="O121" s="134">
        <v>2000</v>
      </c>
      <c r="P121" s="134">
        <v>0</v>
      </c>
      <c r="Q121" s="134">
        <v>40000</v>
      </c>
      <c r="R121" s="134">
        <v>0</v>
      </c>
      <c r="S121" s="134" t="s">
        <v>115</v>
      </c>
      <c r="T121" s="6" t="s">
        <v>588</v>
      </c>
      <c r="U121" s="134" t="s">
        <v>597</v>
      </c>
      <c r="V121" s="244" t="s">
        <v>190</v>
      </c>
      <c r="W121" s="349">
        <v>0.7</v>
      </c>
      <c r="X121" s="349">
        <v>0</v>
      </c>
      <c r="Y121" s="349">
        <v>0</v>
      </c>
      <c r="Z121" s="349">
        <v>0</v>
      </c>
      <c r="AA121" s="349">
        <v>0.3</v>
      </c>
      <c r="AB121" s="349">
        <v>0.1</v>
      </c>
      <c r="AC121" s="349">
        <v>0.8</v>
      </c>
    </row>
    <row r="122" spans="8:29" x14ac:dyDescent="0.3">
      <c r="H122" s="134" t="s">
        <v>588</v>
      </c>
      <c r="I122" s="134" t="s">
        <v>592</v>
      </c>
      <c r="J122" s="134" t="s">
        <v>199</v>
      </c>
      <c r="K122" s="134" t="s">
        <v>190</v>
      </c>
      <c r="L122" s="134">
        <v>7</v>
      </c>
      <c r="M122" s="134">
        <v>200</v>
      </c>
      <c r="N122" s="134">
        <v>100</v>
      </c>
      <c r="O122" s="134">
        <v>2000</v>
      </c>
      <c r="P122" s="134">
        <v>0</v>
      </c>
      <c r="Q122" s="134">
        <v>40000</v>
      </c>
      <c r="R122" s="134">
        <v>3.5000000000000003E-2</v>
      </c>
      <c r="S122" s="134" t="s">
        <v>115</v>
      </c>
      <c r="T122" s="6" t="s">
        <v>588</v>
      </c>
      <c r="U122" s="134" t="s">
        <v>598</v>
      </c>
      <c r="V122" s="244" t="s">
        <v>206</v>
      </c>
      <c r="W122" s="241">
        <v>0.7</v>
      </c>
      <c r="X122" s="241">
        <v>0</v>
      </c>
      <c r="Y122" s="241">
        <v>0</v>
      </c>
      <c r="Z122" s="241">
        <v>0</v>
      </c>
      <c r="AA122" s="241">
        <v>0.3</v>
      </c>
      <c r="AB122" s="241">
        <v>0.5</v>
      </c>
      <c r="AC122" s="240">
        <v>0.8</v>
      </c>
    </row>
    <row r="123" spans="8:29" x14ac:dyDescent="0.3">
      <c r="H123" s="134" t="s">
        <v>588</v>
      </c>
      <c r="I123" s="134" t="s">
        <v>593</v>
      </c>
      <c r="J123" s="134" t="s">
        <v>199</v>
      </c>
      <c r="K123" s="134" t="s">
        <v>206</v>
      </c>
      <c r="L123" s="134">
        <v>0</v>
      </c>
      <c r="M123" s="134">
        <v>200</v>
      </c>
      <c r="N123" s="134">
        <v>25</v>
      </c>
      <c r="O123" s="134">
        <v>70000</v>
      </c>
      <c r="P123" s="134">
        <v>0</v>
      </c>
      <c r="Q123" s="134">
        <v>0</v>
      </c>
      <c r="R123" s="134">
        <v>0</v>
      </c>
      <c r="S123" s="134" t="s">
        <v>115</v>
      </c>
      <c r="T123" s="6" t="s">
        <v>588</v>
      </c>
      <c r="U123" s="134" t="s">
        <v>598</v>
      </c>
      <c r="V123" s="244" t="s">
        <v>198</v>
      </c>
      <c r="W123" s="241">
        <v>0.7</v>
      </c>
      <c r="X123" s="241">
        <v>0</v>
      </c>
      <c r="Y123" s="241">
        <v>0</v>
      </c>
      <c r="Z123" s="241">
        <v>0</v>
      </c>
      <c r="AA123" s="241">
        <v>0.3</v>
      </c>
      <c r="AB123" s="241">
        <v>0.5</v>
      </c>
      <c r="AC123" s="240">
        <v>0.8</v>
      </c>
    </row>
    <row r="124" spans="8:29" x14ac:dyDescent="0.3">
      <c r="H124" s="134" t="s">
        <v>588</v>
      </c>
      <c r="I124" s="134" t="s">
        <v>593</v>
      </c>
      <c r="J124" s="134" t="s">
        <v>199</v>
      </c>
      <c r="K124" s="134" t="s">
        <v>198</v>
      </c>
      <c r="L124" s="134">
        <v>0</v>
      </c>
      <c r="M124" s="134">
        <v>200</v>
      </c>
      <c r="N124" s="134">
        <v>25</v>
      </c>
      <c r="O124" s="134">
        <v>70000</v>
      </c>
      <c r="P124" s="134">
        <v>0</v>
      </c>
      <c r="Q124" s="134">
        <v>0</v>
      </c>
      <c r="R124" s="134">
        <v>0</v>
      </c>
      <c r="S124" s="134" t="s">
        <v>115</v>
      </c>
      <c r="T124" s="6" t="s">
        <v>588</v>
      </c>
      <c r="U124" s="134" t="s">
        <v>598</v>
      </c>
      <c r="V124" s="244" t="s">
        <v>190</v>
      </c>
      <c r="W124" s="241">
        <v>0.7</v>
      </c>
      <c r="X124" s="241">
        <v>0</v>
      </c>
      <c r="Y124" s="241">
        <v>0</v>
      </c>
      <c r="Z124" s="241">
        <v>0</v>
      </c>
      <c r="AA124" s="241">
        <v>0.3</v>
      </c>
      <c r="AB124" s="241">
        <v>0.5</v>
      </c>
      <c r="AC124" s="240">
        <v>0.8</v>
      </c>
    </row>
    <row r="125" spans="8:29" x14ac:dyDescent="0.3">
      <c r="H125" s="134" t="s">
        <v>588</v>
      </c>
      <c r="I125" s="134" t="s">
        <v>593</v>
      </c>
      <c r="J125" s="134" t="s">
        <v>199</v>
      </c>
      <c r="K125" s="134" t="s">
        <v>190</v>
      </c>
      <c r="L125" s="134">
        <v>0</v>
      </c>
      <c r="M125" s="134">
        <v>200</v>
      </c>
      <c r="N125" s="134">
        <v>25</v>
      </c>
      <c r="O125" s="134">
        <v>70000</v>
      </c>
      <c r="P125" s="134">
        <v>0</v>
      </c>
      <c r="Q125" s="134">
        <v>0</v>
      </c>
      <c r="R125" s="134">
        <v>4.6300000000000001E-2</v>
      </c>
      <c r="S125" s="134" t="s">
        <v>115</v>
      </c>
      <c r="T125" s="6" t="s">
        <v>588</v>
      </c>
      <c r="U125" s="134" t="s">
        <v>603</v>
      </c>
      <c r="V125" s="244" t="s">
        <v>206</v>
      </c>
      <c r="W125" s="241">
        <v>0.6</v>
      </c>
      <c r="X125" s="241">
        <v>0</v>
      </c>
      <c r="Y125" s="241">
        <v>0</v>
      </c>
      <c r="Z125" s="241">
        <v>0</v>
      </c>
      <c r="AA125" s="241">
        <v>0.2</v>
      </c>
      <c r="AB125" s="241">
        <v>0.1</v>
      </c>
      <c r="AC125" s="240">
        <v>0.8</v>
      </c>
    </row>
    <row r="126" spans="8:29" x14ac:dyDescent="0.3">
      <c r="H126" s="134" t="s">
        <v>588</v>
      </c>
      <c r="I126" s="134" t="s">
        <v>597</v>
      </c>
      <c r="J126" s="134" t="s">
        <v>199</v>
      </c>
      <c r="K126" s="134" t="s">
        <v>206</v>
      </c>
      <c r="L126" s="134">
        <v>25</v>
      </c>
      <c r="M126" s="134">
        <v>200</v>
      </c>
      <c r="N126" s="134">
        <v>140</v>
      </c>
      <c r="O126" s="134">
        <v>4500</v>
      </c>
      <c r="P126" s="134">
        <v>0</v>
      </c>
      <c r="Q126" s="134">
        <v>10500</v>
      </c>
      <c r="R126" s="134">
        <v>0</v>
      </c>
      <c r="S126" s="134" t="s">
        <v>115</v>
      </c>
      <c r="T126" s="6" t="s">
        <v>588</v>
      </c>
      <c r="U126" s="134" t="s">
        <v>603</v>
      </c>
      <c r="V126" s="244" t="s">
        <v>198</v>
      </c>
      <c r="W126" s="241">
        <v>0.7</v>
      </c>
      <c r="X126" s="241">
        <v>0</v>
      </c>
      <c r="Y126" s="241">
        <v>0</v>
      </c>
      <c r="Z126" s="241">
        <v>0</v>
      </c>
      <c r="AA126" s="241">
        <v>0.3</v>
      </c>
      <c r="AB126" s="241">
        <v>0.2</v>
      </c>
      <c r="AC126" s="240">
        <v>1</v>
      </c>
    </row>
    <row r="127" spans="8:29" x14ac:dyDescent="0.3">
      <c r="H127" s="134" t="s">
        <v>588</v>
      </c>
      <c r="I127" s="134" t="s">
        <v>597</v>
      </c>
      <c r="J127" s="134" t="s">
        <v>199</v>
      </c>
      <c r="K127" s="134" t="s">
        <v>198</v>
      </c>
      <c r="L127" s="134">
        <v>25</v>
      </c>
      <c r="M127" s="134">
        <v>200</v>
      </c>
      <c r="N127" s="134">
        <v>140</v>
      </c>
      <c r="O127" s="134">
        <v>4500</v>
      </c>
      <c r="P127" s="134">
        <v>0</v>
      </c>
      <c r="Q127" s="134">
        <v>10500</v>
      </c>
      <c r="R127" s="134">
        <v>0</v>
      </c>
      <c r="S127" s="134" t="s">
        <v>115</v>
      </c>
      <c r="T127" s="6" t="s">
        <v>588</v>
      </c>
      <c r="U127" s="134" t="s">
        <v>603</v>
      </c>
      <c r="V127" s="244" t="s">
        <v>190</v>
      </c>
      <c r="W127" s="241">
        <v>0.7</v>
      </c>
      <c r="X127" s="241">
        <v>0</v>
      </c>
      <c r="Y127" s="241">
        <v>0</v>
      </c>
      <c r="Z127" s="241">
        <v>0</v>
      </c>
      <c r="AA127" s="241">
        <v>0.3</v>
      </c>
      <c r="AB127" s="241">
        <v>0.3</v>
      </c>
      <c r="AC127" s="240">
        <v>1.4</v>
      </c>
    </row>
    <row r="128" spans="8:29" x14ac:dyDescent="0.3">
      <c r="H128" s="134" t="s">
        <v>588</v>
      </c>
      <c r="I128" s="134" t="s">
        <v>597</v>
      </c>
      <c r="J128" s="134" t="s">
        <v>199</v>
      </c>
      <c r="K128" s="134" t="s">
        <v>190</v>
      </c>
      <c r="L128" s="134">
        <v>25</v>
      </c>
      <c r="M128" s="134">
        <v>200</v>
      </c>
      <c r="N128" s="134">
        <v>140</v>
      </c>
      <c r="O128" s="134">
        <v>4500</v>
      </c>
      <c r="P128" s="134">
        <v>0</v>
      </c>
      <c r="Q128" s="134">
        <v>10500</v>
      </c>
      <c r="R128" s="134">
        <v>7.4700000000000003E-2</v>
      </c>
      <c r="S128" s="134" t="s">
        <v>115</v>
      </c>
      <c r="T128" s="6" t="s">
        <v>588</v>
      </c>
      <c r="U128" s="134" t="s">
        <v>593</v>
      </c>
      <c r="V128" s="244" t="s">
        <v>206</v>
      </c>
      <c r="W128" s="134">
        <v>0.7</v>
      </c>
      <c r="X128" s="134">
        <v>0</v>
      </c>
      <c r="Y128" s="134">
        <v>0</v>
      </c>
      <c r="Z128" s="134">
        <v>0</v>
      </c>
      <c r="AA128" s="134">
        <v>0.3</v>
      </c>
      <c r="AB128" s="134">
        <v>0</v>
      </c>
      <c r="AC128" s="8">
        <v>4.5</v>
      </c>
    </row>
    <row r="129" spans="8:29" x14ac:dyDescent="0.3">
      <c r="H129" s="134" t="s">
        <v>588</v>
      </c>
      <c r="I129" s="134" t="s">
        <v>598</v>
      </c>
      <c r="J129" s="134" t="s">
        <v>207</v>
      </c>
      <c r="K129" s="134" t="s">
        <v>206</v>
      </c>
      <c r="L129" s="134">
        <v>0</v>
      </c>
      <c r="M129" s="134">
        <v>200</v>
      </c>
      <c r="N129" s="134">
        <v>200</v>
      </c>
      <c r="O129" s="134">
        <v>4500</v>
      </c>
      <c r="P129" s="134">
        <v>3510</v>
      </c>
      <c r="Q129" s="134">
        <v>44000</v>
      </c>
      <c r="R129" s="134">
        <v>0</v>
      </c>
      <c r="S129" s="134" t="s">
        <v>115</v>
      </c>
      <c r="T129" s="6" t="s">
        <v>588</v>
      </c>
      <c r="U129" s="134" t="s">
        <v>593</v>
      </c>
      <c r="V129" s="244" t="s">
        <v>198</v>
      </c>
      <c r="W129" s="134">
        <v>0.7</v>
      </c>
      <c r="X129" s="134">
        <v>0</v>
      </c>
      <c r="Y129" s="134">
        <v>0</v>
      </c>
      <c r="Z129" s="134">
        <v>0</v>
      </c>
      <c r="AA129" s="134">
        <v>0.3</v>
      </c>
      <c r="AB129" s="134">
        <v>0</v>
      </c>
      <c r="AC129" s="8">
        <v>4.5</v>
      </c>
    </row>
    <row r="130" spans="8:29" x14ac:dyDescent="0.3">
      <c r="H130" s="134" t="s">
        <v>588</v>
      </c>
      <c r="I130" s="134" t="s">
        <v>598</v>
      </c>
      <c r="J130" s="134" t="s">
        <v>207</v>
      </c>
      <c r="K130" s="134" t="s">
        <v>198</v>
      </c>
      <c r="L130" s="134">
        <v>0</v>
      </c>
      <c r="M130" s="134">
        <v>200</v>
      </c>
      <c r="N130" s="134">
        <v>200</v>
      </c>
      <c r="O130" s="134">
        <v>4500</v>
      </c>
      <c r="P130" s="134">
        <v>3510</v>
      </c>
      <c r="Q130" s="134">
        <v>44000</v>
      </c>
      <c r="R130" s="134">
        <v>0</v>
      </c>
      <c r="S130" s="134" t="s">
        <v>115</v>
      </c>
      <c r="T130" s="6" t="s">
        <v>588</v>
      </c>
      <c r="U130" s="134" t="s">
        <v>593</v>
      </c>
      <c r="V130" s="244" t="s">
        <v>190</v>
      </c>
      <c r="W130" s="134">
        <v>0.7</v>
      </c>
      <c r="X130" s="134">
        <v>0</v>
      </c>
      <c r="Y130" s="134">
        <v>0</v>
      </c>
      <c r="Z130" s="134">
        <v>0</v>
      </c>
      <c r="AA130" s="134">
        <v>0.3</v>
      </c>
      <c r="AB130" s="134">
        <v>0</v>
      </c>
      <c r="AC130" s="8">
        <v>4.5</v>
      </c>
    </row>
    <row r="131" spans="8:29" x14ac:dyDescent="0.3">
      <c r="H131" s="134" t="s">
        <v>588</v>
      </c>
      <c r="I131" s="134" t="s">
        <v>598</v>
      </c>
      <c r="J131" s="134" t="s">
        <v>207</v>
      </c>
      <c r="K131" s="134" t="s">
        <v>190</v>
      </c>
      <c r="L131" s="134">
        <v>0</v>
      </c>
      <c r="M131" s="134">
        <v>200</v>
      </c>
      <c r="N131" s="134">
        <v>200</v>
      </c>
      <c r="O131" s="134">
        <v>4500</v>
      </c>
      <c r="P131" s="134">
        <v>3510</v>
      </c>
      <c r="Q131" s="134">
        <v>44000</v>
      </c>
      <c r="R131" s="134">
        <v>5.9499999999999997E-2</v>
      </c>
      <c r="S131" s="134" t="s">
        <v>115</v>
      </c>
      <c r="T131" s="6" t="s">
        <v>588</v>
      </c>
      <c r="U131" s="360" t="s">
        <v>590</v>
      </c>
      <c r="V131" s="244" t="s">
        <v>206</v>
      </c>
      <c r="W131" s="349">
        <v>0.7</v>
      </c>
      <c r="X131" s="349" t="s">
        <v>97</v>
      </c>
      <c r="Y131" s="349" t="s">
        <v>97</v>
      </c>
      <c r="Z131" s="349" t="s">
        <v>97</v>
      </c>
      <c r="AA131" s="349">
        <v>0.3</v>
      </c>
      <c r="AB131" s="349">
        <v>0.1</v>
      </c>
      <c r="AC131" s="349">
        <v>5.6</v>
      </c>
    </row>
    <row r="132" spans="8:29" x14ac:dyDescent="0.3">
      <c r="H132" s="134" t="s">
        <v>588</v>
      </c>
      <c r="I132" s="134" t="s">
        <v>601</v>
      </c>
      <c r="J132" s="134" t="s">
        <v>199</v>
      </c>
      <c r="K132" s="134" t="s">
        <v>206</v>
      </c>
      <c r="L132" s="134">
        <v>0</v>
      </c>
      <c r="M132" s="134">
        <v>200</v>
      </c>
      <c r="N132" s="134">
        <v>2200</v>
      </c>
      <c r="O132" s="134">
        <v>7500</v>
      </c>
      <c r="P132" s="134">
        <v>0</v>
      </c>
      <c r="Q132" s="134">
        <v>0</v>
      </c>
      <c r="R132" s="134">
        <v>0</v>
      </c>
      <c r="S132" s="134" t="s">
        <v>115</v>
      </c>
      <c r="T132" s="6" t="s">
        <v>588</v>
      </c>
      <c r="U132" s="360" t="s">
        <v>590</v>
      </c>
      <c r="V132" s="244" t="s">
        <v>198</v>
      </c>
      <c r="W132" s="349">
        <v>0.7</v>
      </c>
      <c r="X132" s="349" t="s">
        <v>97</v>
      </c>
      <c r="Y132" s="349" t="s">
        <v>97</v>
      </c>
      <c r="Z132" s="349" t="s">
        <v>97</v>
      </c>
      <c r="AA132" s="349">
        <v>0.3</v>
      </c>
      <c r="AB132" s="349">
        <v>0.1</v>
      </c>
      <c r="AC132" s="349">
        <v>5.6</v>
      </c>
    </row>
    <row r="133" spans="8:29" x14ac:dyDescent="0.3">
      <c r="H133" s="134" t="s">
        <v>588</v>
      </c>
      <c r="I133" s="134" t="s">
        <v>601</v>
      </c>
      <c r="J133" s="134" t="s">
        <v>199</v>
      </c>
      <c r="K133" s="134" t="s">
        <v>198</v>
      </c>
      <c r="L133" s="134">
        <v>0</v>
      </c>
      <c r="M133" s="134">
        <v>200</v>
      </c>
      <c r="N133" s="134">
        <v>2200</v>
      </c>
      <c r="O133" s="134">
        <v>10000</v>
      </c>
      <c r="P133" s="134">
        <v>0</v>
      </c>
      <c r="Q133" s="134">
        <v>0</v>
      </c>
      <c r="R133" s="134">
        <v>0</v>
      </c>
      <c r="S133" s="134" t="s">
        <v>115</v>
      </c>
      <c r="T133" s="6" t="s">
        <v>588</v>
      </c>
      <c r="U133" s="360" t="s">
        <v>590</v>
      </c>
      <c r="V133" s="244" t="s">
        <v>190</v>
      </c>
      <c r="W133" s="349">
        <v>0.7</v>
      </c>
      <c r="X133" s="349" t="s">
        <v>97</v>
      </c>
      <c r="Y133" s="349" t="s">
        <v>97</v>
      </c>
      <c r="Z133" s="349" t="s">
        <v>97</v>
      </c>
      <c r="AA133" s="349">
        <v>0.3</v>
      </c>
      <c r="AB133" s="349">
        <v>0.1</v>
      </c>
      <c r="AC133" s="349">
        <v>5.6</v>
      </c>
    </row>
    <row r="134" spans="8:29" x14ac:dyDescent="0.3">
      <c r="H134" s="134" t="s">
        <v>588</v>
      </c>
      <c r="I134" s="134" t="s">
        <v>601</v>
      </c>
      <c r="J134" s="134" t="s">
        <v>199</v>
      </c>
      <c r="K134" s="134" t="s">
        <v>190</v>
      </c>
      <c r="L134" s="134">
        <v>0</v>
      </c>
      <c r="M134" s="134">
        <v>200</v>
      </c>
      <c r="N134" s="134">
        <v>2200</v>
      </c>
      <c r="O134" s="134">
        <v>15000</v>
      </c>
      <c r="P134" s="134">
        <v>0</v>
      </c>
      <c r="Q134" s="134">
        <v>0</v>
      </c>
      <c r="R134" s="134">
        <v>2.63E-2</v>
      </c>
      <c r="S134" s="134" t="s">
        <v>115</v>
      </c>
      <c r="T134" s="6" t="s">
        <v>588</v>
      </c>
      <c r="U134" s="134" t="s">
        <v>601</v>
      </c>
      <c r="V134" s="244" t="s">
        <v>206</v>
      </c>
      <c r="W134" s="241">
        <v>15</v>
      </c>
      <c r="X134" s="241">
        <v>4.5</v>
      </c>
      <c r="Y134" s="241">
        <v>0</v>
      </c>
      <c r="Z134" s="241">
        <v>0</v>
      </c>
      <c r="AA134" s="241">
        <v>2</v>
      </c>
      <c r="AB134" s="241">
        <v>0</v>
      </c>
      <c r="AC134" s="240">
        <v>10</v>
      </c>
    </row>
    <row r="135" spans="8:29" x14ac:dyDescent="0.3">
      <c r="H135" s="134" t="s">
        <v>588</v>
      </c>
      <c r="I135" s="134" t="s">
        <v>603</v>
      </c>
      <c r="J135" s="134" t="s">
        <v>199</v>
      </c>
      <c r="K135" s="134" t="s">
        <v>206</v>
      </c>
      <c r="L135" s="134">
        <v>25</v>
      </c>
      <c r="M135" s="134">
        <v>200</v>
      </c>
      <c r="N135" s="134">
        <v>6000</v>
      </c>
      <c r="O135" s="134">
        <v>2500</v>
      </c>
      <c r="P135" s="134">
        <v>3500</v>
      </c>
      <c r="Q135" s="134">
        <v>26600</v>
      </c>
      <c r="R135" s="134">
        <v>0</v>
      </c>
      <c r="S135" s="134" t="s">
        <v>115</v>
      </c>
      <c r="T135" s="6" t="s">
        <v>588</v>
      </c>
      <c r="U135" s="134" t="s">
        <v>601</v>
      </c>
      <c r="V135" s="244" t="s">
        <v>198</v>
      </c>
      <c r="W135" s="241">
        <v>15</v>
      </c>
      <c r="X135" s="241">
        <v>4.5</v>
      </c>
      <c r="Y135" s="241">
        <v>0</v>
      </c>
      <c r="Z135" s="241">
        <v>0</v>
      </c>
      <c r="AA135" s="241">
        <v>2</v>
      </c>
      <c r="AB135" s="241">
        <v>0</v>
      </c>
      <c r="AC135" s="240">
        <v>10</v>
      </c>
    </row>
    <row r="136" spans="8:29" x14ac:dyDescent="0.3">
      <c r="H136" s="134" t="s">
        <v>588</v>
      </c>
      <c r="I136" s="134" t="s">
        <v>603</v>
      </c>
      <c r="J136" s="134" t="s">
        <v>199</v>
      </c>
      <c r="K136" s="134" t="s">
        <v>198</v>
      </c>
      <c r="L136" s="134">
        <v>25</v>
      </c>
      <c r="M136" s="134">
        <v>200</v>
      </c>
      <c r="N136" s="134">
        <v>6000</v>
      </c>
      <c r="O136" s="134">
        <v>5000</v>
      </c>
      <c r="P136" s="134">
        <v>7000</v>
      </c>
      <c r="Q136" s="134">
        <v>38400</v>
      </c>
      <c r="R136" s="134">
        <v>0</v>
      </c>
      <c r="S136" s="134" t="s">
        <v>115</v>
      </c>
      <c r="T136" s="6" t="s">
        <v>588</v>
      </c>
      <c r="U136" s="134" t="s">
        <v>601</v>
      </c>
      <c r="V136" s="244" t="s">
        <v>190</v>
      </c>
      <c r="W136" s="241">
        <v>15</v>
      </c>
      <c r="X136" s="241">
        <v>4.5</v>
      </c>
      <c r="Y136" s="241">
        <v>0</v>
      </c>
      <c r="Z136" s="241">
        <v>0</v>
      </c>
      <c r="AA136" s="241">
        <v>2</v>
      </c>
      <c r="AB136" s="241">
        <v>0</v>
      </c>
      <c r="AC136" s="240">
        <v>10</v>
      </c>
    </row>
    <row r="137" spans="8:29" x14ac:dyDescent="0.3">
      <c r="H137" s="134" t="s">
        <v>588</v>
      </c>
      <c r="I137" s="134" t="s">
        <v>603</v>
      </c>
      <c r="J137" s="134" t="s">
        <v>199</v>
      </c>
      <c r="K137" s="134" t="s">
        <v>190</v>
      </c>
      <c r="L137" s="134">
        <v>25</v>
      </c>
      <c r="M137" s="134">
        <v>200</v>
      </c>
      <c r="N137" s="134">
        <v>6000</v>
      </c>
      <c r="O137" s="134">
        <v>8000</v>
      </c>
      <c r="P137" s="134">
        <v>11200</v>
      </c>
      <c r="Q137" s="134">
        <v>40500</v>
      </c>
      <c r="R137" s="134">
        <v>5.6800000000000003E-2</v>
      </c>
      <c r="S137" s="134" t="s">
        <v>115</v>
      </c>
      <c r="T137" s="6" t="s">
        <v>588</v>
      </c>
      <c r="U137" s="134" t="s">
        <v>592</v>
      </c>
      <c r="V137" s="244" t="s">
        <v>206</v>
      </c>
      <c r="W137" s="134">
        <v>10</v>
      </c>
      <c r="X137" s="134">
        <v>2</v>
      </c>
      <c r="Y137" s="134">
        <v>0</v>
      </c>
      <c r="Z137" s="134">
        <v>0</v>
      </c>
      <c r="AA137" s="134">
        <v>2</v>
      </c>
      <c r="AB137" s="134">
        <v>0.5</v>
      </c>
      <c r="AC137" s="8">
        <v>3</v>
      </c>
    </row>
    <row r="138" spans="8:29" x14ac:dyDescent="0.3">
      <c r="H138" s="134" t="s">
        <v>588</v>
      </c>
      <c r="I138" s="134" t="s">
        <v>604</v>
      </c>
      <c r="J138" s="134" t="s">
        <v>207</v>
      </c>
      <c r="K138" s="134" t="s">
        <v>206</v>
      </c>
      <c r="L138" s="134">
        <v>0</v>
      </c>
      <c r="M138" s="134">
        <v>200</v>
      </c>
      <c r="N138" s="134">
        <v>25000</v>
      </c>
      <c r="O138" s="134">
        <v>7500</v>
      </c>
      <c r="P138" s="134">
        <v>0</v>
      </c>
      <c r="Q138" s="134">
        <v>0</v>
      </c>
      <c r="R138" s="134">
        <v>0</v>
      </c>
      <c r="S138" s="134" t="s">
        <v>115</v>
      </c>
      <c r="T138" s="6" t="s">
        <v>588</v>
      </c>
      <c r="U138" s="134" t="s">
        <v>592</v>
      </c>
      <c r="V138" s="244" t="s">
        <v>198</v>
      </c>
      <c r="W138" s="134">
        <v>10</v>
      </c>
      <c r="X138" s="134">
        <v>2</v>
      </c>
      <c r="Y138" s="134">
        <v>0</v>
      </c>
      <c r="Z138" s="134">
        <v>0</v>
      </c>
      <c r="AA138" s="134">
        <v>2</v>
      </c>
      <c r="AB138" s="134">
        <v>0.5</v>
      </c>
      <c r="AC138" s="8">
        <v>3</v>
      </c>
    </row>
    <row r="139" spans="8:29" x14ac:dyDescent="0.3">
      <c r="H139" s="134" t="s">
        <v>588</v>
      </c>
      <c r="I139" s="134" t="s">
        <v>604</v>
      </c>
      <c r="J139" s="134" t="s">
        <v>207</v>
      </c>
      <c r="K139" s="134" t="s">
        <v>198</v>
      </c>
      <c r="L139" s="134">
        <v>0</v>
      </c>
      <c r="M139" s="134">
        <v>200</v>
      </c>
      <c r="N139" s="134">
        <v>25000</v>
      </c>
      <c r="O139" s="134">
        <v>7500</v>
      </c>
      <c r="P139" s="134">
        <v>0</v>
      </c>
      <c r="Q139" s="134">
        <v>0</v>
      </c>
      <c r="R139" s="134">
        <v>0</v>
      </c>
      <c r="S139" s="134" t="s">
        <v>115</v>
      </c>
      <c r="T139" s="6" t="s">
        <v>588</v>
      </c>
      <c r="U139" s="134" t="s">
        <v>592</v>
      </c>
      <c r="V139" s="244" t="s">
        <v>190</v>
      </c>
      <c r="W139" s="134">
        <v>10</v>
      </c>
      <c r="X139" s="134">
        <v>2</v>
      </c>
      <c r="Y139" s="134">
        <v>0</v>
      </c>
      <c r="Z139" s="134">
        <v>0</v>
      </c>
      <c r="AA139" s="134">
        <v>2</v>
      </c>
      <c r="AB139" s="134">
        <v>0.5</v>
      </c>
      <c r="AC139" s="8">
        <v>3</v>
      </c>
    </row>
    <row r="140" spans="8:29" x14ac:dyDescent="0.3">
      <c r="H140" s="134" t="s">
        <v>588</v>
      </c>
      <c r="I140" s="134" t="s">
        <v>604</v>
      </c>
      <c r="J140" s="134" t="s">
        <v>207</v>
      </c>
      <c r="K140" s="134" t="s">
        <v>190</v>
      </c>
      <c r="L140" s="134">
        <v>0</v>
      </c>
      <c r="M140" s="134">
        <v>200</v>
      </c>
      <c r="N140" s="134">
        <v>25000</v>
      </c>
      <c r="O140" s="134">
        <v>7500</v>
      </c>
      <c r="P140" s="134">
        <v>0</v>
      </c>
      <c r="Q140" s="134">
        <v>0</v>
      </c>
      <c r="R140" s="134">
        <v>0.1</v>
      </c>
      <c r="S140" s="134" t="s">
        <v>115</v>
      </c>
      <c r="T140" s="6" t="s">
        <v>588</v>
      </c>
      <c r="U140" s="134" t="s">
        <v>591</v>
      </c>
      <c r="V140" s="244" t="s">
        <v>206</v>
      </c>
      <c r="W140" s="349">
        <v>0.7</v>
      </c>
      <c r="X140" s="349">
        <v>0</v>
      </c>
      <c r="Y140" s="349">
        <v>0</v>
      </c>
      <c r="Z140" s="349">
        <v>0</v>
      </c>
      <c r="AA140" s="349">
        <v>0.3</v>
      </c>
      <c r="AB140" s="349">
        <v>0.1</v>
      </c>
      <c r="AC140" s="349">
        <v>0.4</v>
      </c>
    </row>
    <row r="141" spans="8:29" x14ac:dyDescent="0.3">
      <c r="H141" s="243"/>
      <c r="I141" s="243"/>
      <c r="J141" s="243"/>
      <c r="K141" s="244"/>
      <c r="L141" s="243"/>
      <c r="M141" s="244"/>
      <c r="N141" s="243"/>
      <c r="O141" s="361"/>
      <c r="P141" s="362"/>
      <c r="Q141" s="243"/>
      <c r="R141" s="243"/>
      <c r="S141" s="362"/>
      <c r="T141" s="6" t="s">
        <v>588</v>
      </c>
      <c r="U141" s="134" t="s">
        <v>591</v>
      </c>
      <c r="V141" s="244" t="s">
        <v>198</v>
      </c>
      <c r="W141" s="349">
        <v>0.7</v>
      </c>
      <c r="X141" s="349">
        <v>0</v>
      </c>
      <c r="Y141" s="349">
        <v>0</v>
      </c>
      <c r="Z141" s="349">
        <v>0</v>
      </c>
      <c r="AA141" s="349">
        <v>0.3</v>
      </c>
      <c r="AB141" s="349">
        <v>0.1</v>
      </c>
      <c r="AC141" s="349">
        <v>0.4</v>
      </c>
    </row>
    <row r="142" spans="8:29" x14ac:dyDescent="0.3">
      <c r="H142" s="243"/>
      <c r="I142" s="243"/>
      <c r="J142" s="243"/>
      <c r="K142" s="244"/>
      <c r="L142" s="244"/>
      <c r="M142" s="244"/>
      <c r="N142" s="243"/>
      <c r="O142" s="361"/>
      <c r="P142" s="362"/>
      <c r="Q142" s="243"/>
      <c r="R142" s="243"/>
      <c r="S142" s="362"/>
      <c r="T142" s="6" t="s">
        <v>588</v>
      </c>
      <c r="U142" s="134" t="s">
        <v>591</v>
      </c>
      <c r="V142" s="244" t="s">
        <v>190</v>
      </c>
      <c r="W142" s="349">
        <v>0.7</v>
      </c>
      <c r="X142" s="349">
        <v>0</v>
      </c>
      <c r="Y142" s="349">
        <v>0</v>
      </c>
      <c r="Z142" s="349">
        <v>0</v>
      </c>
      <c r="AA142" s="349">
        <v>0.3</v>
      </c>
      <c r="AB142" s="349">
        <v>0.1</v>
      </c>
      <c r="AC142" s="349">
        <v>0.4</v>
      </c>
    </row>
  </sheetData>
  <mergeCells count="4">
    <mergeCell ref="C1:E1"/>
    <mergeCell ref="F1:G1"/>
    <mergeCell ref="H1:S1"/>
    <mergeCell ref="T1:AC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E1C3C-B890-4991-97A4-251B8F444A40}">
  <dimension ref="A1:F69"/>
  <sheetViews>
    <sheetView workbookViewId="0">
      <selection sqref="A1:F54"/>
    </sheetView>
  </sheetViews>
  <sheetFormatPr baseColWidth="10" defaultRowHeight="14.4" x14ac:dyDescent="0.3"/>
  <cols>
    <col min="1" max="1" width="11.5546875" style="6"/>
    <col min="2" max="2" width="11.5546875" style="134"/>
    <col min="3" max="3" width="14.77734375" style="8" customWidth="1"/>
    <col min="4" max="4" width="11.5546875" style="6"/>
    <col min="5" max="5" width="11.5546875" style="134"/>
    <col min="6" max="6" width="17.33203125" style="8" customWidth="1"/>
    <col min="7" max="16384" width="11.5546875" style="134"/>
  </cols>
  <sheetData>
    <row r="1" spans="1:6" ht="18" x14ac:dyDescent="0.35">
      <c r="A1" s="434" t="s">
        <v>498</v>
      </c>
      <c r="B1" s="435"/>
      <c r="C1" s="436"/>
      <c r="D1" s="434" t="s">
        <v>497</v>
      </c>
      <c r="E1" s="435"/>
      <c r="F1" s="436"/>
    </row>
    <row r="2" spans="1:6" ht="15.6" x14ac:dyDescent="0.3">
      <c r="A2" s="437" t="s">
        <v>496</v>
      </c>
      <c r="B2" s="438"/>
      <c r="C2" s="439"/>
      <c r="D2" s="437" t="s">
        <v>495</v>
      </c>
      <c r="E2" s="438"/>
      <c r="F2" s="439"/>
    </row>
    <row r="3" spans="1:6" x14ac:dyDescent="0.3">
      <c r="A3" s="275" t="s">
        <v>19</v>
      </c>
      <c r="B3" s="274" t="s">
        <v>416</v>
      </c>
      <c r="C3" s="276" t="s">
        <v>494</v>
      </c>
      <c r="D3" s="275" t="s">
        <v>19</v>
      </c>
      <c r="E3" s="274" t="s">
        <v>416</v>
      </c>
      <c r="F3" s="273" t="s">
        <v>493</v>
      </c>
    </row>
    <row r="4" spans="1:6" x14ac:dyDescent="0.3">
      <c r="A4" s="243" t="s">
        <v>590</v>
      </c>
      <c r="B4" s="243" t="s">
        <v>206</v>
      </c>
      <c r="C4" s="270">
        <v>1</v>
      </c>
      <c r="D4" s="243" t="s">
        <v>590</v>
      </c>
      <c r="E4" s="243" t="s">
        <v>206</v>
      </c>
      <c r="F4" s="270">
        <v>1</v>
      </c>
    </row>
    <row r="5" spans="1:6" x14ac:dyDescent="0.3">
      <c r="A5" s="243" t="s">
        <v>590</v>
      </c>
      <c r="B5" s="243" t="s">
        <v>198</v>
      </c>
      <c r="C5" s="270">
        <v>1</v>
      </c>
      <c r="D5" s="243" t="s">
        <v>590</v>
      </c>
      <c r="E5" s="243" t="s">
        <v>198</v>
      </c>
      <c r="F5" s="270">
        <v>1</v>
      </c>
    </row>
    <row r="6" spans="1:6" x14ac:dyDescent="0.3">
      <c r="A6" s="243" t="s">
        <v>590</v>
      </c>
      <c r="B6" s="243" t="s">
        <v>190</v>
      </c>
      <c r="C6" s="270">
        <v>1</v>
      </c>
      <c r="D6" s="243" t="s">
        <v>590</v>
      </c>
      <c r="E6" s="243" t="s">
        <v>190</v>
      </c>
      <c r="F6" s="270">
        <v>1</v>
      </c>
    </row>
    <row r="7" spans="1:6" x14ac:dyDescent="0.3">
      <c r="A7" s="243" t="s">
        <v>591</v>
      </c>
      <c r="B7" s="243" t="s">
        <v>206</v>
      </c>
      <c r="C7" s="270">
        <v>1</v>
      </c>
      <c r="D7" s="243" t="s">
        <v>591</v>
      </c>
      <c r="E7" s="243" t="s">
        <v>206</v>
      </c>
      <c r="F7" s="270">
        <v>1</v>
      </c>
    </row>
    <row r="8" spans="1:6" x14ac:dyDescent="0.3">
      <c r="A8" s="243" t="s">
        <v>591</v>
      </c>
      <c r="B8" s="243" t="s">
        <v>198</v>
      </c>
      <c r="C8" s="270">
        <v>1</v>
      </c>
      <c r="D8" s="243" t="s">
        <v>591</v>
      </c>
      <c r="E8" s="243" t="s">
        <v>198</v>
      </c>
      <c r="F8" s="270">
        <v>1</v>
      </c>
    </row>
    <row r="9" spans="1:6" x14ac:dyDescent="0.3">
      <c r="A9" s="243" t="s">
        <v>591</v>
      </c>
      <c r="B9" s="243" t="s">
        <v>190</v>
      </c>
      <c r="C9" s="270">
        <v>1</v>
      </c>
      <c r="D9" s="243" t="s">
        <v>591</v>
      </c>
      <c r="E9" s="243" t="s">
        <v>190</v>
      </c>
      <c r="F9" s="270">
        <v>1</v>
      </c>
    </row>
    <row r="10" spans="1:6" x14ac:dyDescent="0.3">
      <c r="A10" s="243" t="s">
        <v>592</v>
      </c>
      <c r="B10" s="243" t="s">
        <v>206</v>
      </c>
      <c r="C10" s="270">
        <v>1</v>
      </c>
      <c r="D10" s="243" t="s">
        <v>592</v>
      </c>
      <c r="E10" s="243" t="s">
        <v>206</v>
      </c>
      <c r="F10" s="270">
        <v>1</v>
      </c>
    </row>
    <row r="11" spans="1:6" x14ac:dyDescent="0.3">
      <c r="A11" s="243" t="s">
        <v>592</v>
      </c>
      <c r="B11" s="243" t="s">
        <v>198</v>
      </c>
      <c r="C11" s="270">
        <v>1</v>
      </c>
      <c r="D11" s="243" t="s">
        <v>592</v>
      </c>
      <c r="E11" s="243" t="s">
        <v>198</v>
      </c>
      <c r="F11" s="270">
        <v>1</v>
      </c>
    </row>
    <row r="12" spans="1:6" x14ac:dyDescent="0.3">
      <c r="A12" s="243" t="s">
        <v>592</v>
      </c>
      <c r="B12" s="243" t="s">
        <v>190</v>
      </c>
      <c r="C12" s="270">
        <v>1</v>
      </c>
      <c r="D12" s="243" t="s">
        <v>592</v>
      </c>
      <c r="E12" s="243" t="s">
        <v>190</v>
      </c>
      <c r="F12" s="270">
        <v>1</v>
      </c>
    </row>
    <row r="13" spans="1:6" x14ac:dyDescent="0.3">
      <c r="A13" s="243" t="s">
        <v>593</v>
      </c>
      <c r="B13" s="243" t="s">
        <v>206</v>
      </c>
      <c r="C13" s="270">
        <v>1</v>
      </c>
      <c r="D13" s="243" t="s">
        <v>593</v>
      </c>
      <c r="E13" s="243" t="s">
        <v>206</v>
      </c>
      <c r="F13" s="270">
        <v>1</v>
      </c>
    </row>
    <row r="14" spans="1:6" x14ac:dyDescent="0.3">
      <c r="A14" s="243" t="s">
        <v>593</v>
      </c>
      <c r="B14" s="243" t="s">
        <v>198</v>
      </c>
      <c r="C14" s="270">
        <v>1</v>
      </c>
      <c r="D14" s="243" t="s">
        <v>593</v>
      </c>
      <c r="E14" s="243" t="s">
        <v>198</v>
      </c>
      <c r="F14" s="270">
        <v>1</v>
      </c>
    </row>
    <row r="15" spans="1:6" x14ac:dyDescent="0.3">
      <c r="A15" s="243" t="s">
        <v>593</v>
      </c>
      <c r="B15" s="243" t="s">
        <v>190</v>
      </c>
      <c r="C15" s="270">
        <v>1</v>
      </c>
      <c r="D15" s="243" t="s">
        <v>593</v>
      </c>
      <c r="E15" s="243" t="s">
        <v>190</v>
      </c>
      <c r="F15" s="270">
        <v>1</v>
      </c>
    </row>
    <row r="16" spans="1:6" x14ac:dyDescent="0.3">
      <c r="A16" s="243" t="s">
        <v>594</v>
      </c>
      <c r="B16" s="243" t="s">
        <v>206</v>
      </c>
      <c r="C16" s="270">
        <v>1</v>
      </c>
      <c r="D16" s="243" t="s">
        <v>594</v>
      </c>
      <c r="E16" s="243" t="s">
        <v>206</v>
      </c>
      <c r="F16" s="270">
        <v>1</v>
      </c>
    </row>
    <row r="17" spans="1:6" x14ac:dyDescent="0.3">
      <c r="A17" s="243" t="s">
        <v>594</v>
      </c>
      <c r="B17" s="243" t="s">
        <v>198</v>
      </c>
      <c r="C17" s="270">
        <v>1</v>
      </c>
      <c r="D17" s="243" t="s">
        <v>594</v>
      </c>
      <c r="E17" s="243" t="s">
        <v>198</v>
      </c>
      <c r="F17" s="270">
        <v>1</v>
      </c>
    </row>
    <row r="18" spans="1:6" x14ac:dyDescent="0.3">
      <c r="A18" s="243" t="s">
        <v>594</v>
      </c>
      <c r="B18" s="243" t="s">
        <v>190</v>
      </c>
      <c r="C18" s="270">
        <v>1</v>
      </c>
      <c r="D18" s="243" t="s">
        <v>594</v>
      </c>
      <c r="E18" s="243" t="s">
        <v>190</v>
      </c>
      <c r="F18" s="270">
        <v>1</v>
      </c>
    </row>
    <row r="19" spans="1:6" x14ac:dyDescent="0.3">
      <c r="A19" s="243" t="s">
        <v>595</v>
      </c>
      <c r="B19" s="243" t="s">
        <v>206</v>
      </c>
      <c r="C19" s="270">
        <v>1</v>
      </c>
      <c r="D19" s="243" t="s">
        <v>595</v>
      </c>
      <c r="E19" s="243" t="s">
        <v>206</v>
      </c>
      <c r="F19" s="270">
        <v>1</v>
      </c>
    </row>
    <row r="20" spans="1:6" x14ac:dyDescent="0.3">
      <c r="A20" s="243" t="s">
        <v>595</v>
      </c>
      <c r="B20" s="243" t="s">
        <v>198</v>
      </c>
      <c r="C20" s="270">
        <v>1</v>
      </c>
      <c r="D20" s="243" t="s">
        <v>595</v>
      </c>
      <c r="E20" s="243" t="s">
        <v>198</v>
      </c>
      <c r="F20" s="270">
        <v>1</v>
      </c>
    </row>
    <row r="21" spans="1:6" x14ac:dyDescent="0.3">
      <c r="A21" s="243" t="s">
        <v>595</v>
      </c>
      <c r="B21" s="243" t="s">
        <v>190</v>
      </c>
      <c r="C21" s="270">
        <v>1</v>
      </c>
      <c r="D21" s="243" t="s">
        <v>595</v>
      </c>
      <c r="E21" s="243" t="s">
        <v>190</v>
      </c>
      <c r="F21" s="270">
        <v>1</v>
      </c>
    </row>
    <row r="22" spans="1:6" x14ac:dyDescent="0.3">
      <c r="A22" s="243" t="s">
        <v>596</v>
      </c>
      <c r="B22" s="339" t="s">
        <v>206</v>
      </c>
      <c r="C22" s="270">
        <v>1</v>
      </c>
      <c r="D22" s="243" t="s">
        <v>596</v>
      </c>
      <c r="E22" s="339" t="s">
        <v>206</v>
      </c>
      <c r="F22" s="270">
        <v>1</v>
      </c>
    </row>
    <row r="23" spans="1:6" x14ac:dyDescent="0.3">
      <c r="A23" s="243" t="s">
        <v>596</v>
      </c>
      <c r="B23" s="339" t="s">
        <v>198</v>
      </c>
      <c r="C23" s="270">
        <v>1</v>
      </c>
      <c r="D23" s="243" t="s">
        <v>596</v>
      </c>
      <c r="E23" s="339" t="s">
        <v>198</v>
      </c>
      <c r="F23" s="270">
        <v>1</v>
      </c>
    </row>
    <row r="24" spans="1:6" x14ac:dyDescent="0.3">
      <c r="A24" s="243" t="s">
        <v>596</v>
      </c>
      <c r="B24" s="339" t="s">
        <v>190</v>
      </c>
      <c r="C24" s="270">
        <v>1</v>
      </c>
      <c r="D24" s="243" t="s">
        <v>596</v>
      </c>
      <c r="E24" s="339" t="s">
        <v>190</v>
      </c>
      <c r="F24" s="270">
        <v>1</v>
      </c>
    </row>
    <row r="25" spans="1:6" x14ac:dyDescent="0.3">
      <c r="A25" s="243" t="s">
        <v>589</v>
      </c>
      <c r="B25" s="244" t="s">
        <v>206</v>
      </c>
      <c r="C25" s="270">
        <v>1</v>
      </c>
      <c r="D25" s="243" t="s">
        <v>589</v>
      </c>
      <c r="E25" s="244" t="s">
        <v>206</v>
      </c>
      <c r="F25" s="270">
        <v>1</v>
      </c>
    </row>
    <row r="26" spans="1:6" x14ac:dyDescent="0.3">
      <c r="A26" s="243" t="s">
        <v>589</v>
      </c>
      <c r="B26" s="244" t="s">
        <v>198</v>
      </c>
      <c r="C26" s="270">
        <v>1</v>
      </c>
      <c r="D26" s="243" t="s">
        <v>589</v>
      </c>
      <c r="E26" s="244" t="s">
        <v>198</v>
      </c>
      <c r="F26" s="270">
        <v>1</v>
      </c>
    </row>
    <row r="27" spans="1:6" x14ac:dyDescent="0.3">
      <c r="A27" s="243" t="s">
        <v>589</v>
      </c>
      <c r="B27" s="244" t="s">
        <v>190</v>
      </c>
      <c r="C27" s="270">
        <v>1</v>
      </c>
      <c r="D27" s="243" t="s">
        <v>589</v>
      </c>
      <c r="E27" s="244" t="s">
        <v>190</v>
      </c>
      <c r="F27" s="270">
        <v>1</v>
      </c>
    </row>
    <row r="28" spans="1:6" x14ac:dyDescent="0.3">
      <c r="A28" s="243" t="s">
        <v>597</v>
      </c>
      <c r="B28" s="243" t="s">
        <v>206</v>
      </c>
      <c r="C28" s="270">
        <v>1</v>
      </c>
      <c r="D28" s="243" t="s">
        <v>597</v>
      </c>
      <c r="E28" s="243" t="s">
        <v>206</v>
      </c>
      <c r="F28" s="270">
        <v>1</v>
      </c>
    </row>
    <row r="29" spans="1:6" x14ac:dyDescent="0.3">
      <c r="A29" s="243" t="s">
        <v>597</v>
      </c>
      <c r="B29" s="243" t="s">
        <v>198</v>
      </c>
      <c r="C29" s="270">
        <v>1</v>
      </c>
      <c r="D29" s="243" t="s">
        <v>597</v>
      </c>
      <c r="E29" s="243" t="s">
        <v>198</v>
      </c>
      <c r="F29" s="270">
        <v>1</v>
      </c>
    </row>
    <row r="30" spans="1:6" x14ac:dyDescent="0.3">
      <c r="A30" s="243" t="s">
        <v>597</v>
      </c>
      <c r="B30" s="243" t="s">
        <v>190</v>
      </c>
      <c r="C30" s="270">
        <v>1</v>
      </c>
      <c r="D30" s="243" t="s">
        <v>597</v>
      </c>
      <c r="E30" s="243" t="s">
        <v>190</v>
      </c>
      <c r="F30" s="270">
        <v>1</v>
      </c>
    </row>
    <row r="31" spans="1:6" x14ac:dyDescent="0.3">
      <c r="A31" s="243" t="s">
        <v>598</v>
      </c>
      <c r="B31" s="243" t="s">
        <v>206</v>
      </c>
      <c r="C31" s="270">
        <v>1</v>
      </c>
      <c r="D31" s="243" t="s">
        <v>598</v>
      </c>
      <c r="E31" s="243" t="s">
        <v>206</v>
      </c>
      <c r="F31" s="270">
        <v>1</v>
      </c>
    </row>
    <row r="32" spans="1:6" x14ac:dyDescent="0.3">
      <c r="A32" s="243" t="s">
        <v>598</v>
      </c>
      <c r="B32" s="243" t="s">
        <v>198</v>
      </c>
      <c r="C32" s="270">
        <v>1</v>
      </c>
      <c r="D32" s="243" t="s">
        <v>598</v>
      </c>
      <c r="E32" s="243" t="s">
        <v>198</v>
      </c>
      <c r="F32" s="270">
        <v>1</v>
      </c>
    </row>
    <row r="33" spans="1:6" x14ac:dyDescent="0.3">
      <c r="A33" s="243" t="s">
        <v>598</v>
      </c>
      <c r="B33" s="243" t="s">
        <v>190</v>
      </c>
      <c r="C33" s="270">
        <v>1</v>
      </c>
      <c r="D33" s="243" t="s">
        <v>598</v>
      </c>
      <c r="E33" s="243" t="s">
        <v>190</v>
      </c>
      <c r="F33" s="270">
        <v>1</v>
      </c>
    </row>
    <row r="34" spans="1:6" x14ac:dyDescent="0.3">
      <c r="A34" s="243" t="s">
        <v>584</v>
      </c>
      <c r="B34" s="244" t="s">
        <v>206</v>
      </c>
      <c r="C34" s="270">
        <v>1</v>
      </c>
      <c r="D34" s="243" t="s">
        <v>584</v>
      </c>
      <c r="E34" s="244" t="s">
        <v>206</v>
      </c>
      <c r="F34" s="270">
        <v>1</v>
      </c>
    </row>
    <row r="35" spans="1:6" x14ac:dyDescent="0.3">
      <c r="A35" s="243" t="s">
        <v>584</v>
      </c>
      <c r="B35" s="244" t="s">
        <v>198</v>
      </c>
      <c r="C35" s="270">
        <v>1</v>
      </c>
      <c r="D35" s="243" t="s">
        <v>584</v>
      </c>
      <c r="E35" s="244" t="s">
        <v>198</v>
      </c>
      <c r="F35" s="270">
        <v>1</v>
      </c>
    </row>
    <row r="36" spans="1:6" x14ac:dyDescent="0.3">
      <c r="A36" s="243" t="s">
        <v>584</v>
      </c>
      <c r="B36" s="244" t="s">
        <v>190</v>
      </c>
      <c r="C36" s="270">
        <v>1</v>
      </c>
      <c r="D36" s="243" t="s">
        <v>584</v>
      </c>
      <c r="E36" s="244" t="s">
        <v>190</v>
      </c>
      <c r="F36" s="270">
        <v>1</v>
      </c>
    </row>
    <row r="37" spans="1:6" x14ac:dyDescent="0.3">
      <c r="A37" s="243" t="s">
        <v>599</v>
      </c>
      <c r="B37" s="244" t="s">
        <v>206</v>
      </c>
      <c r="C37" s="270">
        <v>1</v>
      </c>
      <c r="D37" s="243" t="s">
        <v>599</v>
      </c>
      <c r="E37" s="244" t="s">
        <v>206</v>
      </c>
      <c r="F37" s="270">
        <v>1</v>
      </c>
    </row>
    <row r="38" spans="1:6" x14ac:dyDescent="0.3">
      <c r="A38" s="243" t="s">
        <v>599</v>
      </c>
      <c r="B38" s="244" t="s">
        <v>198</v>
      </c>
      <c r="C38" s="270">
        <v>1</v>
      </c>
      <c r="D38" s="243" t="s">
        <v>599</v>
      </c>
      <c r="E38" s="244" t="s">
        <v>198</v>
      </c>
      <c r="F38" s="270">
        <v>1</v>
      </c>
    </row>
    <row r="39" spans="1:6" x14ac:dyDescent="0.3">
      <c r="A39" s="243" t="s">
        <v>599</v>
      </c>
      <c r="B39" s="244" t="s">
        <v>190</v>
      </c>
      <c r="C39" s="270">
        <v>1</v>
      </c>
      <c r="D39" s="243" t="s">
        <v>599</v>
      </c>
      <c r="E39" s="244" t="s">
        <v>190</v>
      </c>
      <c r="F39" s="270">
        <v>1</v>
      </c>
    </row>
    <row r="40" spans="1:6" x14ac:dyDescent="0.3">
      <c r="A40" s="243" t="s">
        <v>600</v>
      </c>
      <c r="B40" s="243" t="s">
        <v>206</v>
      </c>
      <c r="C40" s="270">
        <v>1</v>
      </c>
      <c r="D40" s="243" t="s">
        <v>600</v>
      </c>
      <c r="E40" s="243" t="s">
        <v>206</v>
      </c>
      <c r="F40" s="270">
        <v>1</v>
      </c>
    </row>
    <row r="41" spans="1:6" x14ac:dyDescent="0.3">
      <c r="A41" s="243" t="s">
        <v>600</v>
      </c>
      <c r="B41" s="243" t="s">
        <v>198</v>
      </c>
      <c r="C41" s="270">
        <v>1</v>
      </c>
      <c r="D41" s="243" t="s">
        <v>600</v>
      </c>
      <c r="E41" s="243" t="s">
        <v>198</v>
      </c>
      <c r="F41" s="270">
        <v>1</v>
      </c>
    </row>
    <row r="42" spans="1:6" x14ac:dyDescent="0.3">
      <c r="A42" s="243" t="s">
        <v>600</v>
      </c>
      <c r="B42" s="243" t="s">
        <v>190</v>
      </c>
      <c r="C42" s="270">
        <v>1</v>
      </c>
      <c r="D42" s="243" t="s">
        <v>600</v>
      </c>
      <c r="E42" s="243" t="s">
        <v>190</v>
      </c>
      <c r="F42" s="270">
        <v>1</v>
      </c>
    </row>
    <row r="43" spans="1:6" x14ac:dyDescent="0.3">
      <c r="A43" s="243" t="s">
        <v>601</v>
      </c>
      <c r="B43" s="244" t="s">
        <v>206</v>
      </c>
      <c r="C43" s="270">
        <v>1</v>
      </c>
      <c r="D43" s="243" t="s">
        <v>601</v>
      </c>
      <c r="E43" s="244" t="s">
        <v>206</v>
      </c>
      <c r="F43" s="270">
        <v>1</v>
      </c>
    </row>
    <row r="44" spans="1:6" x14ac:dyDescent="0.3">
      <c r="A44" s="243" t="s">
        <v>601</v>
      </c>
      <c r="B44" s="244" t="s">
        <v>198</v>
      </c>
      <c r="C44" s="270">
        <v>1</v>
      </c>
      <c r="D44" s="243" t="s">
        <v>601</v>
      </c>
      <c r="E44" s="244" t="s">
        <v>198</v>
      </c>
      <c r="F44" s="270">
        <v>1</v>
      </c>
    </row>
    <row r="45" spans="1:6" x14ac:dyDescent="0.3">
      <c r="A45" s="243" t="s">
        <v>601</v>
      </c>
      <c r="B45" s="244" t="s">
        <v>190</v>
      </c>
      <c r="C45" s="270">
        <v>1</v>
      </c>
      <c r="D45" s="243" t="s">
        <v>601</v>
      </c>
      <c r="E45" s="244" t="s">
        <v>190</v>
      </c>
      <c r="F45" s="270">
        <v>1</v>
      </c>
    </row>
    <row r="46" spans="1:6" x14ac:dyDescent="0.3">
      <c r="A46" s="243" t="s">
        <v>602</v>
      </c>
      <c r="B46" s="244" t="s">
        <v>206</v>
      </c>
      <c r="C46" s="270">
        <v>1</v>
      </c>
      <c r="D46" s="243" t="s">
        <v>602</v>
      </c>
      <c r="E46" s="244" t="s">
        <v>206</v>
      </c>
      <c r="F46" s="270">
        <v>1</v>
      </c>
    </row>
    <row r="47" spans="1:6" x14ac:dyDescent="0.3">
      <c r="A47" s="243" t="s">
        <v>602</v>
      </c>
      <c r="B47" s="244" t="s">
        <v>198</v>
      </c>
      <c r="C47" s="270">
        <v>1</v>
      </c>
      <c r="D47" s="243" t="s">
        <v>602</v>
      </c>
      <c r="E47" s="244" t="s">
        <v>198</v>
      </c>
      <c r="F47" s="270">
        <v>1</v>
      </c>
    </row>
    <row r="48" spans="1:6" x14ac:dyDescent="0.3">
      <c r="A48" s="243" t="s">
        <v>602</v>
      </c>
      <c r="B48" s="244" t="s">
        <v>190</v>
      </c>
      <c r="C48" s="270">
        <v>1</v>
      </c>
      <c r="D48" s="243" t="s">
        <v>602</v>
      </c>
      <c r="E48" s="244" t="s">
        <v>190</v>
      </c>
      <c r="F48" s="270">
        <v>1</v>
      </c>
    </row>
    <row r="49" spans="1:6" x14ac:dyDescent="0.3">
      <c r="A49" s="243" t="s">
        <v>603</v>
      </c>
      <c r="B49" s="243" t="s">
        <v>206</v>
      </c>
      <c r="C49" s="270">
        <v>1</v>
      </c>
      <c r="D49" s="243" t="s">
        <v>603</v>
      </c>
      <c r="E49" s="243" t="s">
        <v>206</v>
      </c>
      <c r="F49" s="270">
        <v>1</v>
      </c>
    </row>
    <row r="50" spans="1:6" x14ac:dyDescent="0.3">
      <c r="A50" s="243" t="s">
        <v>603</v>
      </c>
      <c r="B50" s="243" t="s">
        <v>198</v>
      </c>
      <c r="C50" s="270">
        <v>1</v>
      </c>
      <c r="D50" s="243" t="s">
        <v>603</v>
      </c>
      <c r="E50" s="243" t="s">
        <v>198</v>
      </c>
      <c r="F50" s="270">
        <v>1</v>
      </c>
    </row>
    <row r="51" spans="1:6" x14ac:dyDescent="0.3">
      <c r="A51" s="243" t="s">
        <v>603</v>
      </c>
      <c r="B51" s="243" t="s">
        <v>190</v>
      </c>
      <c r="C51" s="270">
        <v>1</v>
      </c>
      <c r="D51" s="243" t="s">
        <v>603</v>
      </c>
      <c r="E51" s="243" t="s">
        <v>190</v>
      </c>
      <c r="F51" s="270">
        <v>1</v>
      </c>
    </row>
    <row r="52" spans="1:6" x14ac:dyDescent="0.3">
      <c r="A52" s="243" t="s">
        <v>604</v>
      </c>
      <c r="B52" s="243" t="s">
        <v>206</v>
      </c>
      <c r="C52" s="270">
        <v>1</v>
      </c>
      <c r="D52" s="243" t="s">
        <v>604</v>
      </c>
      <c r="E52" s="243" t="s">
        <v>206</v>
      </c>
      <c r="F52" s="270">
        <v>1</v>
      </c>
    </row>
    <row r="53" spans="1:6" x14ac:dyDescent="0.3">
      <c r="A53" s="243" t="s">
        <v>604</v>
      </c>
      <c r="B53" s="243" t="s">
        <v>198</v>
      </c>
      <c r="C53" s="270">
        <v>1</v>
      </c>
      <c r="D53" s="243" t="s">
        <v>604</v>
      </c>
      <c r="E53" s="243" t="s">
        <v>198</v>
      </c>
      <c r="F53" s="270">
        <v>1</v>
      </c>
    </row>
    <row r="54" spans="1:6" x14ac:dyDescent="0.3">
      <c r="A54" s="243" t="s">
        <v>604</v>
      </c>
      <c r="B54" s="243" t="s">
        <v>190</v>
      </c>
      <c r="C54" s="270">
        <v>1</v>
      </c>
      <c r="D54" s="243" t="s">
        <v>604</v>
      </c>
      <c r="E54" s="243" t="s">
        <v>190</v>
      </c>
      <c r="F54" s="270">
        <v>1</v>
      </c>
    </row>
    <row r="55" spans="1:6" ht="15.6" x14ac:dyDescent="0.3">
      <c r="A55" s="272"/>
      <c r="B55" s="271"/>
      <c r="C55" s="270"/>
      <c r="D55" s="272"/>
      <c r="E55" s="271"/>
      <c r="F55" s="270"/>
    </row>
    <row r="56" spans="1:6" ht="15.6" x14ac:dyDescent="0.3">
      <c r="A56" s="272"/>
      <c r="B56" s="271"/>
      <c r="C56" s="270"/>
      <c r="D56" s="272"/>
      <c r="E56" s="271"/>
      <c r="F56" s="270"/>
    </row>
    <row r="57" spans="1:6" ht="15.6" x14ac:dyDescent="0.3">
      <c r="A57" s="272"/>
      <c r="B57" s="271"/>
      <c r="C57" s="270"/>
      <c r="D57" s="272"/>
      <c r="E57" s="271"/>
      <c r="F57" s="270"/>
    </row>
    <row r="58" spans="1:6" ht="15.6" x14ac:dyDescent="0.3">
      <c r="A58" s="272"/>
      <c r="B58" s="271"/>
      <c r="C58" s="270"/>
      <c r="D58" s="272"/>
      <c r="E58" s="271"/>
      <c r="F58" s="270"/>
    </row>
    <row r="59" spans="1:6" ht="15.6" x14ac:dyDescent="0.3">
      <c r="A59" s="272"/>
      <c r="B59" s="271"/>
      <c r="C59" s="270"/>
      <c r="D59" s="272"/>
      <c r="E59" s="271"/>
      <c r="F59" s="270"/>
    </row>
    <row r="60" spans="1:6" ht="15.6" x14ac:dyDescent="0.3">
      <c r="A60" s="272"/>
      <c r="B60" s="271"/>
      <c r="C60" s="270"/>
      <c r="D60" s="272"/>
      <c r="E60" s="271"/>
      <c r="F60" s="270"/>
    </row>
    <row r="61" spans="1:6" ht="15.6" x14ac:dyDescent="0.3">
      <c r="A61" s="272"/>
      <c r="B61" s="271"/>
      <c r="C61" s="270"/>
      <c r="D61" s="272"/>
      <c r="E61" s="271"/>
      <c r="F61" s="270"/>
    </row>
    <row r="62" spans="1:6" ht="15.6" x14ac:dyDescent="0.3">
      <c r="A62" s="272"/>
      <c r="B62" s="271"/>
      <c r="C62" s="270"/>
      <c r="D62" s="272"/>
      <c r="E62" s="271"/>
      <c r="F62" s="270"/>
    </row>
    <row r="63" spans="1:6" ht="15.6" x14ac:dyDescent="0.3">
      <c r="A63" s="272"/>
      <c r="B63" s="271"/>
      <c r="C63" s="270"/>
      <c r="D63" s="272"/>
      <c r="E63" s="271"/>
      <c r="F63" s="270"/>
    </row>
    <row r="64" spans="1:6" ht="15.6" x14ac:dyDescent="0.3">
      <c r="A64" s="272"/>
      <c r="B64" s="271"/>
      <c r="C64" s="270"/>
      <c r="D64" s="272"/>
      <c r="E64" s="271"/>
      <c r="F64" s="270"/>
    </row>
    <row r="65" spans="1:6" ht="15.6" x14ac:dyDescent="0.3">
      <c r="A65" s="272"/>
      <c r="B65" s="271"/>
      <c r="C65" s="270"/>
      <c r="D65" s="272"/>
      <c r="E65" s="271"/>
      <c r="F65" s="270"/>
    </row>
    <row r="66" spans="1:6" ht="15.6" x14ac:dyDescent="0.3">
      <c r="A66" s="272"/>
      <c r="B66" s="271"/>
      <c r="C66" s="270"/>
      <c r="D66" s="272"/>
      <c r="E66" s="271"/>
      <c r="F66" s="270"/>
    </row>
    <row r="67" spans="1:6" ht="15.6" x14ac:dyDescent="0.3">
      <c r="A67" s="272"/>
      <c r="B67" s="271"/>
      <c r="C67" s="270"/>
      <c r="D67" s="272"/>
      <c r="E67" s="271"/>
      <c r="F67" s="270"/>
    </row>
    <row r="68" spans="1:6" ht="15.6" x14ac:dyDescent="0.3">
      <c r="A68" s="272"/>
      <c r="B68" s="271"/>
      <c r="C68" s="270"/>
      <c r="D68" s="272"/>
      <c r="E68" s="271"/>
      <c r="F68" s="270"/>
    </row>
    <row r="69" spans="1:6" ht="15.6" x14ac:dyDescent="0.3">
      <c r="A69" s="272"/>
      <c r="B69" s="271"/>
      <c r="C69" s="270"/>
      <c r="D69" s="272"/>
      <c r="E69" s="271"/>
      <c r="F69" s="270"/>
    </row>
  </sheetData>
  <mergeCells count="4">
    <mergeCell ref="A1:C1"/>
    <mergeCell ref="D1:F1"/>
    <mergeCell ref="A2:C2"/>
    <mergeCell ref="D2:F2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CAB38-6E92-46AF-B7FE-411E027A4EDD}">
  <dimension ref="A1:AZ105"/>
  <sheetViews>
    <sheetView topLeftCell="O23" zoomScale="70" zoomScaleNormal="70" workbookViewId="0">
      <selection activeCell="AD44" sqref="AD43:AD44"/>
    </sheetView>
  </sheetViews>
  <sheetFormatPr baseColWidth="10" defaultColWidth="11.44140625" defaultRowHeight="15.6" x14ac:dyDescent="0.3"/>
  <cols>
    <col min="1" max="1" width="11.6640625" style="6" bestFit="1" customWidth="1"/>
    <col min="2" max="8" width="12" style="134" bestFit="1" customWidth="1"/>
    <col min="9" max="11" width="12.109375" style="134" bestFit="1" customWidth="1"/>
    <col min="12" max="12" width="12" style="134" bestFit="1" customWidth="1"/>
    <col min="13" max="13" width="12.109375" style="8" bestFit="1" customWidth="1"/>
    <col min="14" max="20" width="11.44140625" style="134"/>
    <col min="21" max="24" width="12" style="134" bestFit="1" customWidth="1"/>
    <col min="25" max="25" width="11.5546875" style="134" bestFit="1" customWidth="1"/>
    <col min="26" max="26" width="12.109375" style="134" bestFit="1" customWidth="1"/>
    <col min="27" max="27" width="15.6640625" style="277" customWidth="1"/>
    <col min="28" max="28" width="11.44140625" style="134"/>
    <col min="29" max="31" width="11.6640625" style="134" bestFit="1" customWidth="1"/>
    <col min="32" max="32" width="11.88671875" style="8" bestFit="1" customWidth="1"/>
    <col min="33" max="33" width="11.44140625" style="6"/>
    <col min="34" max="34" width="40.33203125" style="8" customWidth="1"/>
    <col min="35" max="35" width="11.44140625" style="6"/>
    <col min="36" max="37" width="20.33203125" style="134" customWidth="1"/>
    <col min="38" max="40" width="11.6640625" style="134" bestFit="1" customWidth="1"/>
    <col min="41" max="46" width="11.5546875" style="134" bestFit="1" customWidth="1"/>
    <col min="47" max="48" width="11.44140625" style="134"/>
    <col min="49" max="49" width="11.44140625" style="8"/>
    <col min="50" max="50" width="11.44140625" style="6"/>
    <col min="51" max="51" width="15.88671875" style="134" customWidth="1"/>
    <col min="52" max="52" width="16.44140625" style="8" customWidth="1"/>
    <col min="53" max="16384" width="11.44140625" style="134"/>
  </cols>
  <sheetData>
    <row r="1" spans="1:52" ht="18" customHeight="1" x14ac:dyDescent="0.35">
      <c r="A1" s="434" t="s">
        <v>535</v>
      </c>
      <c r="B1" s="435"/>
      <c r="C1" s="435"/>
      <c r="D1" s="435"/>
      <c r="E1" s="435"/>
      <c r="F1" s="435"/>
      <c r="G1" s="435"/>
      <c r="H1" s="435"/>
      <c r="I1" s="435"/>
      <c r="J1" s="435"/>
      <c r="K1" s="435"/>
      <c r="L1" s="435"/>
      <c r="M1" s="436"/>
      <c r="N1" s="434" t="s">
        <v>534</v>
      </c>
      <c r="O1" s="435"/>
      <c r="P1" s="435"/>
      <c r="Q1" s="435"/>
      <c r="R1" s="435"/>
      <c r="S1" s="435"/>
      <c r="T1" s="435"/>
      <c r="U1" s="435"/>
      <c r="V1" s="435"/>
      <c r="W1" s="435"/>
      <c r="X1" s="435"/>
      <c r="Y1" s="435"/>
      <c r="Z1" s="436"/>
      <c r="AA1" s="434" t="s">
        <v>533</v>
      </c>
      <c r="AB1" s="435"/>
      <c r="AC1" s="435"/>
      <c r="AD1" s="435"/>
      <c r="AE1" s="435"/>
      <c r="AF1" s="436"/>
      <c r="AG1" s="440" t="s">
        <v>532</v>
      </c>
      <c r="AH1" s="441"/>
      <c r="AI1" s="434" t="s">
        <v>531</v>
      </c>
      <c r="AJ1" s="435"/>
      <c r="AK1" s="435"/>
      <c r="AL1" s="435"/>
      <c r="AM1" s="435"/>
      <c r="AN1" s="435"/>
      <c r="AO1" s="435"/>
      <c r="AP1" s="435"/>
      <c r="AQ1" s="435"/>
      <c r="AR1" s="435"/>
      <c r="AS1" s="435"/>
      <c r="AT1" s="435"/>
      <c r="AU1" s="435"/>
      <c r="AV1" s="435"/>
      <c r="AW1" s="436"/>
      <c r="AX1" s="434" t="s">
        <v>530</v>
      </c>
      <c r="AY1" s="435"/>
      <c r="AZ1" s="436"/>
    </row>
    <row r="2" spans="1:52" s="97" customFormat="1" ht="132.6" customHeight="1" x14ac:dyDescent="0.3">
      <c r="A2" s="51" t="s">
        <v>88</v>
      </c>
      <c r="B2" s="298" t="s">
        <v>89</v>
      </c>
      <c r="C2" s="297" t="s">
        <v>90</v>
      </c>
      <c r="D2" s="296" t="s">
        <v>91</v>
      </c>
      <c r="E2" s="295" t="s">
        <v>92</v>
      </c>
      <c r="F2" s="294" t="s">
        <v>529</v>
      </c>
      <c r="M2" s="289"/>
      <c r="O2" s="294" t="s">
        <v>529</v>
      </c>
      <c r="AA2" s="293"/>
      <c r="AC2" s="291" t="s">
        <v>528</v>
      </c>
      <c r="AD2" s="291" t="s">
        <v>527</v>
      </c>
      <c r="AE2" s="291" t="s">
        <v>526</v>
      </c>
      <c r="AF2" s="292" t="s">
        <v>525</v>
      </c>
      <c r="AG2" s="176" t="s">
        <v>524</v>
      </c>
      <c r="AH2" s="291" t="s">
        <v>523</v>
      </c>
      <c r="AI2" s="290"/>
      <c r="AW2" s="289"/>
      <c r="AX2" s="290"/>
      <c r="AZ2" s="289" t="s">
        <v>522</v>
      </c>
    </row>
    <row r="3" spans="1:52" x14ac:dyDescent="0.3">
      <c r="A3" s="279" t="s">
        <v>521</v>
      </c>
      <c r="B3" s="278" t="s">
        <v>519</v>
      </c>
      <c r="C3" s="278" t="s">
        <v>518</v>
      </c>
      <c r="D3" s="278" t="s">
        <v>517</v>
      </c>
      <c r="E3" s="278" t="s">
        <v>516</v>
      </c>
      <c r="F3" s="278" t="s">
        <v>515</v>
      </c>
      <c r="G3" s="278" t="s">
        <v>514</v>
      </c>
      <c r="H3" s="278" t="s">
        <v>513</v>
      </c>
      <c r="I3" s="278" t="s">
        <v>512</v>
      </c>
      <c r="J3" s="278" t="s">
        <v>511</v>
      </c>
      <c r="K3" s="278" t="s">
        <v>510</v>
      </c>
      <c r="L3" s="278" t="s">
        <v>509</v>
      </c>
      <c r="M3" s="283" t="s">
        <v>508</v>
      </c>
      <c r="N3" s="278" t="s">
        <v>520</v>
      </c>
      <c r="O3" s="278" t="s">
        <v>519</v>
      </c>
      <c r="P3" s="278" t="s">
        <v>518</v>
      </c>
      <c r="Q3" s="278" t="s">
        <v>517</v>
      </c>
      <c r="R3" s="278" t="s">
        <v>516</v>
      </c>
      <c r="S3" s="278" t="s">
        <v>515</v>
      </c>
      <c r="T3" s="278" t="s">
        <v>514</v>
      </c>
      <c r="U3" s="278" t="s">
        <v>513</v>
      </c>
      <c r="V3" s="278" t="s">
        <v>512</v>
      </c>
      <c r="W3" s="278" t="s">
        <v>511</v>
      </c>
      <c r="X3" s="278" t="s">
        <v>510</v>
      </c>
      <c r="Y3" s="278" t="s">
        <v>509</v>
      </c>
      <c r="Z3" s="278" t="s">
        <v>508</v>
      </c>
      <c r="AA3" s="288" t="s">
        <v>19</v>
      </c>
      <c r="AB3" s="287" t="s">
        <v>416</v>
      </c>
      <c r="AC3" s="286" t="s">
        <v>507</v>
      </c>
      <c r="AD3" s="285" t="s">
        <v>506</v>
      </c>
      <c r="AE3" s="285" t="s">
        <v>505</v>
      </c>
      <c r="AF3" s="284" t="s">
        <v>504</v>
      </c>
      <c r="AG3" s="279" t="s">
        <v>290</v>
      </c>
      <c r="AH3" s="283" t="s">
        <v>503</v>
      </c>
      <c r="AI3" s="279" t="s">
        <v>502</v>
      </c>
      <c r="AJ3" s="248" t="s">
        <v>19</v>
      </c>
      <c r="AK3" s="248" t="s">
        <v>416</v>
      </c>
      <c r="AL3" s="278" t="s">
        <v>163</v>
      </c>
      <c r="AM3" s="278" t="s">
        <v>162</v>
      </c>
      <c r="AN3" s="278" t="s">
        <v>161</v>
      </c>
      <c r="AO3" s="278" t="s">
        <v>158</v>
      </c>
      <c r="AP3" s="278" t="s">
        <v>157</v>
      </c>
      <c r="AQ3" s="278" t="s">
        <v>156</v>
      </c>
      <c r="AR3" s="278" t="s">
        <v>155</v>
      </c>
      <c r="AS3" s="278" t="s">
        <v>166</v>
      </c>
      <c r="AT3" s="278" t="s">
        <v>165</v>
      </c>
      <c r="AU3" s="278" t="s">
        <v>164</v>
      </c>
      <c r="AV3" s="278" t="s">
        <v>160</v>
      </c>
      <c r="AW3" s="283" t="s">
        <v>159</v>
      </c>
      <c r="AX3" s="279" t="s">
        <v>501</v>
      </c>
      <c r="AY3" s="278" t="s">
        <v>500</v>
      </c>
      <c r="AZ3" s="283" t="s">
        <v>499</v>
      </c>
    </row>
    <row r="4" spans="1:52" ht="14.4" x14ac:dyDescent="0.3">
      <c r="A4" s="279"/>
      <c r="B4" s="278" t="s">
        <v>163</v>
      </c>
      <c r="C4" s="278" t="s">
        <v>162</v>
      </c>
      <c r="D4" s="278" t="s">
        <v>161</v>
      </c>
      <c r="E4" s="278" t="s">
        <v>158</v>
      </c>
      <c r="F4" s="278" t="s">
        <v>157</v>
      </c>
      <c r="G4" s="278" t="s">
        <v>156</v>
      </c>
      <c r="H4" s="278" t="s">
        <v>155</v>
      </c>
      <c r="I4" s="278" t="s">
        <v>166</v>
      </c>
      <c r="J4" s="278" t="s">
        <v>165</v>
      </c>
      <c r="K4" s="278" t="s">
        <v>164</v>
      </c>
      <c r="L4" s="278" t="s">
        <v>160</v>
      </c>
      <c r="M4" s="283" t="s">
        <v>159</v>
      </c>
      <c r="N4" s="278"/>
      <c r="O4" s="278" t="s">
        <v>163</v>
      </c>
      <c r="P4" s="278" t="s">
        <v>162</v>
      </c>
      <c r="Q4" s="278" t="s">
        <v>161</v>
      </c>
      <c r="R4" s="278" t="s">
        <v>158</v>
      </c>
      <c r="S4" s="278" t="s">
        <v>157</v>
      </c>
      <c r="T4" s="278" t="s">
        <v>156</v>
      </c>
      <c r="U4" s="278" t="s">
        <v>155</v>
      </c>
      <c r="V4" s="278" t="s">
        <v>166</v>
      </c>
      <c r="W4" s="278" t="s">
        <v>165</v>
      </c>
      <c r="X4" s="278" t="s">
        <v>164</v>
      </c>
      <c r="Y4" s="278" t="s">
        <v>160</v>
      </c>
      <c r="Z4" s="278" t="s">
        <v>159</v>
      </c>
      <c r="AA4" s="243" t="s">
        <v>590</v>
      </c>
      <c r="AB4" s="243" t="s">
        <v>206</v>
      </c>
      <c r="AC4" s="243">
        <v>1.2</v>
      </c>
      <c r="AD4" s="243">
        <v>110000</v>
      </c>
      <c r="AE4" s="243">
        <v>1.5</v>
      </c>
      <c r="AF4" s="280">
        <v>0.55000000000000004</v>
      </c>
      <c r="AG4" s="282" t="s">
        <v>207</v>
      </c>
      <c r="AH4" s="270">
        <v>0.25</v>
      </c>
      <c r="AI4" s="50" t="s">
        <v>15</v>
      </c>
      <c r="AJ4" s="271" t="s">
        <v>590</v>
      </c>
      <c r="AK4" s="337" t="s">
        <v>206</v>
      </c>
      <c r="AL4" s="129">
        <v>0</v>
      </c>
      <c r="AM4" s="129">
        <v>0</v>
      </c>
      <c r="AN4" s="129">
        <v>0</v>
      </c>
      <c r="AO4" s="129">
        <v>0</v>
      </c>
      <c r="AP4" s="129">
        <v>0</v>
      </c>
      <c r="AQ4" s="129">
        <v>0</v>
      </c>
      <c r="AR4" s="129">
        <v>0</v>
      </c>
      <c r="AS4" s="129">
        <v>0</v>
      </c>
      <c r="AT4" s="129">
        <v>0</v>
      </c>
      <c r="AU4" s="129">
        <v>0</v>
      </c>
      <c r="AV4" s="129">
        <v>0</v>
      </c>
      <c r="AW4" s="129">
        <v>0</v>
      </c>
      <c r="AX4" s="50" t="s">
        <v>15</v>
      </c>
      <c r="AY4" s="129" t="s">
        <v>97</v>
      </c>
      <c r="AZ4" s="281">
        <v>0</v>
      </c>
    </row>
    <row r="5" spans="1:52" ht="14.4" x14ac:dyDescent="0.3">
      <c r="A5" s="279">
        <v>1960</v>
      </c>
      <c r="B5" s="134">
        <v>540</v>
      </c>
      <c r="C5" s="134">
        <v>480</v>
      </c>
      <c r="D5" s="134">
        <v>1300</v>
      </c>
      <c r="E5" s="134">
        <v>1360</v>
      </c>
      <c r="F5" s="134">
        <v>1200</v>
      </c>
      <c r="G5" s="134">
        <v>1160</v>
      </c>
      <c r="H5" s="134">
        <v>570</v>
      </c>
      <c r="I5" s="134">
        <v>1040</v>
      </c>
      <c r="J5" s="134">
        <v>1800</v>
      </c>
      <c r="K5" s="134">
        <v>1019.9999999999999</v>
      </c>
      <c r="L5" s="134">
        <v>1180</v>
      </c>
      <c r="M5" s="134">
        <v>380</v>
      </c>
      <c r="N5" s="278">
        <v>1960</v>
      </c>
      <c r="O5" s="141">
        <v>3.3450044745695982</v>
      </c>
      <c r="P5" s="141">
        <v>3.745513892790119</v>
      </c>
      <c r="Q5" s="141">
        <v>4.115667059291245</v>
      </c>
      <c r="R5" s="141">
        <v>5.1263302560785347</v>
      </c>
      <c r="S5" s="141">
        <v>4.4722283785596364</v>
      </c>
      <c r="T5" s="141">
        <v>4.4279592049099028</v>
      </c>
      <c r="U5" s="141">
        <v>2.7933037241069312</v>
      </c>
      <c r="V5" s="141">
        <v>3.404370396978218</v>
      </c>
      <c r="W5" s="141">
        <v>3.5344391433747182</v>
      </c>
      <c r="X5" s="141">
        <v>3.1400107483884669</v>
      </c>
      <c r="Y5" s="141">
        <v>3.965989749980571</v>
      </c>
      <c r="Z5" s="141">
        <v>3.7078525452295712</v>
      </c>
      <c r="AA5" s="243" t="s">
        <v>590</v>
      </c>
      <c r="AB5" s="243" t="s">
        <v>198</v>
      </c>
      <c r="AC5" s="243">
        <v>1.2</v>
      </c>
      <c r="AD5" s="243">
        <v>110000</v>
      </c>
      <c r="AE5" s="243">
        <v>1.5</v>
      </c>
      <c r="AF5" s="280">
        <v>0.55000000000000004</v>
      </c>
      <c r="AG5" s="282" t="s">
        <v>199</v>
      </c>
      <c r="AH5" s="270">
        <v>0.25</v>
      </c>
      <c r="AI5" s="50" t="s">
        <v>15</v>
      </c>
      <c r="AJ5" s="271" t="s">
        <v>590</v>
      </c>
      <c r="AK5" s="337" t="s">
        <v>198</v>
      </c>
      <c r="AL5" s="129">
        <v>0</v>
      </c>
      <c r="AM5" s="129">
        <v>0</v>
      </c>
      <c r="AN5" s="129">
        <v>0</v>
      </c>
      <c r="AO5" s="129">
        <v>0</v>
      </c>
      <c r="AP5" s="129">
        <v>0</v>
      </c>
      <c r="AQ5" s="129">
        <v>0</v>
      </c>
      <c r="AR5" s="129">
        <v>0</v>
      </c>
      <c r="AS5" s="129">
        <v>0</v>
      </c>
      <c r="AT5" s="129">
        <v>0</v>
      </c>
      <c r="AU5" s="129">
        <v>0</v>
      </c>
      <c r="AV5" s="129">
        <v>0</v>
      </c>
      <c r="AW5" s="129">
        <v>0</v>
      </c>
      <c r="AX5" s="50" t="s">
        <v>16</v>
      </c>
      <c r="AY5" s="129">
        <v>10000000</v>
      </c>
      <c r="AZ5" s="281">
        <v>20</v>
      </c>
    </row>
    <row r="6" spans="1:52" ht="14.4" x14ac:dyDescent="0.3">
      <c r="A6" s="279">
        <v>1961</v>
      </c>
      <c r="B6" s="134">
        <v>540</v>
      </c>
      <c r="C6" s="134">
        <v>480</v>
      </c>
      <c r="D6" s="134">
        <v>1300</v>
      </c>
      <c r="E6" s="134">
        <v>1360</v>
      </c>
      <c r="F6" s="134">
        <v>1200</v>
      </c>
      <c r="G6" s="134">
        <v>1160</v>
      </c>
      <c r="H6" s="134">
        <v>570</v>
      </c>
      <c r="I6" s="134">
        <v>1040</v>
      </c>
      <c r="J6" s="134">
        <v>1800</v>
      </c>
      <c r="K6" s="134">
        <v>1019.9999999999999</v>
      </c>
      <c r="L6" s="134">
        <v>1180</v>
      </c>
      <c r="M6" s="134">
        <v>380</v>
      </c>
      <c r="N6" s="278">
        <v>1961</v>
      </c>
      <c r="O6" s="141">
        <v>3.1425778699166811</v>
      </c>
      <c r="P6" s="141">
        <v>3.425375255735271</v>
      </c>
      <c r="Q6" s="141">
        <v>4.1163590395692697</v>
      </c>
      <c r="R6" s="141">
        <v>4.5214508819089927</v>
      </c>
      <c r="S6" s="141">
        <v>4.6126423347925352</v>
      </c>
      <c r="T6" s="141">
        <v>4.4430896633588084</v>
      </c>
      <c r="U6" s="141">
        <v>3.6872811636286209</v>
      </c>
      <c r="V6" s="141">
        <v>3.2967001102043341</v>
      </c>
      <c r="W6" s="141">
        <v>3.3642216763105099</v>
      </c>
      <c r="X6" s="141">
        <v>4.1720644977471659</v>
      </c>
      <c r="Y6" s="141">
        <v>2.8159954354180252</v>
      </c>
      <c r="Z6" s="141">
        <v>3.2233208113985792</v>
      </c>
      <c r="AA6" s="243" t="s">
        <v>590</v>
      </c>
      <c r="AB6" s="243" t="s">
        <v>190</v>
      </c>
      <c r="AC6" s="243">
        <v>1.2</v>
      </c>
      <c r="AD6" s="243">
        <v>110000</v>
      </c>
      <c r="AE6" s="243">
        <v>1.5</v>
      </c>
      <c r="AF6" s="280">
        <v>0.55000000000000004</v>
      </c>
      <c r="AG6" s="282" t="s">
        <v>191</v>
      </c>
      <c r="AH6" s="270">
        <v>0.25</v>
      </c>
      <c r="AI6" s="50" t="s">
        <v>15</v>
      </c>
      <c r="AJ6" s="271" t="s">
        <v>590</v>
      </c>
      <c r="AK6" s="337" t="s">
        <v>190</v>
      </c>
      <c r="AL6" s="129">
        <v>0</v>
      </c>
      <c r="AM6" s="129">
        <v>0</v>
      </c>
      <c r="AN6" s="129">
        <v>0</v>
      </c>
      <c r="AO6" s="129">
        <v>0</v>
      </c>
      <c r="AP6" s="129">
        <v>0</v>
      </c>
      <c r="AQ6" s="129">
        <v>0</v>
      </c>
      <c r="AR6" s="129">
        <v>0</v>
      </c>
      <c r="AS6" s="129">
        <v>0</v>
      </c>
      <c r="AT6" s="129">
        <v>0</v>
      </c>
      <c r="AU6" s="129">
        <v>0</v>
      </c>
      <c r="AV6" s="129">
        <v>0</v>
      </c>
      <c r="AW6" s="129">
        <v>0</v>
      </c>
      <c r="AX6" s="50"/>
      <c r="AY6" s="129"/>
      <c r="AZ6" s="281"/>
    </row>
    <row r="7" spans="1:52" ht="14.4" x14ac:dyDescent="0.3">
      <c r="A7" s="279">
        <v>1962</v>
      </c>
      <c r="B7" s="134">
        <v>540</v>
      </c>
      <c r="C7" s="134">
        <v>480</v>
      </c>
      <c r="D7" s="134">
        <v>1300</v>
      </c>
      <c r="E7" s="134">
        <v>1360</v>
      </c>
      <c r="F7" s="134">
        <v>1200</v>
      </c>
      <c r="G7" s="134">
        <v>1160</v>
      </c>
      <c r="H7" s="134">
        <v>570</v>
      </c>
      <c r="I7" s="134">
        <v>1040</v>
      </c>
      <c r="J7" s="134">
        <v>1800</v>
      </c>
      <c r="K7" s="134">
        <v>1019.9999999999999</v>
      </c>
      <c r="L7" s="134">
        <v>1180</v>
      </c>
      <c r="M7" s="134">
        <v>380</v>
      </c>
      <c r="N7" s="278">
        <v>1962</v>
      </c>
      <c r="O7" s="141">
        <v>3.133822352115371</v>
      </c>
      <c r="P7" s="141">
        <v>3.4995941294085089</v>
      </c>
      <c r="Q7" s="141">
        <v>3.8084738767885371</v>
      </c>
      <c r="R7" s="141">
        <v>4.6647920754495669</v>
      </c>
      <c r="S7" s="141">
        <v>5.6224498811055286</v>
      </c>
      <c r="T7" s="141">
        <v>4.8104376951204957</v>
      </c>
      <c r="U7" s="141">
        <v>4.5379360318545778</v>
      </c>
      <c r="V7" s="141">
        <v>3.933893956742665</v>
      </c>
      <c r="W7" s="141">
        <v>3.967728838842008</v>
      </c>
      <c r="X7" s="141">
        <v>3.8042014449954609</v>
      </c>
      <c r="Y7" s="141">
        <v>2.9264404488010141</v>
      </c>
      <c r="Z7" s="141">
        <v>2.6050280139918112</v>
      </c>
      <c r="AA7" s="243" t="s">
        <v>591</v>
      </c>
      <c r="AB7" s="243" t="s">
        <v>206</v>
      </c>
      <c r="AC7" s="243">
        <v>1.1499999999999999</v>
      </c>
      <c r="AD7" s="243">
        <v>50000</v>
      </c>
      <c r="AE7" s="243">
        <v>1</v>
      </c>
      <c r="AF7" s="280">
        <v>0.55000000000000004</v>
      </c>
      <c r="AI7" s="50" t="s">
        <v>15</v>
      </c>
      <c r="AJ7" s="271" t="s">
        <v>591</v>
      </c>
      <c r="AK7" s="337" t="s">
        <v>206</v>
      </c>
      <c r="AL7" s="129">
        <v>0</v>
      </c>
      <c r="AM7" s="129">
        <v>0</v>
      </c>
      <c r="AN7" s="129">
        <v>0</v>
      </c>
      <c r="AO7" s="129">
        <v>0</v>
      </c>
      <c r="AP7" s="129">
        <v>0</v>
      </c>
      <c r="AQ7" s="129">
        <v>0</v>
      </c>
      <c r="AR7" s="129">
        <v>0</v>
      </c>
      <c r="AS7" s="129">
        <v>0</v>
      </c>
      <c r="AT7" s="129">
        <v>0</v>
      </c>
      <c r="AU7" s="129">
        <v>0</v>
      </c>
      <c r="AV7" s="129">
        <v>0</v>
      </c>
      <c r="AW7" s="129">
        <v>0</v>
      </c>
      <c r="AX7" s="50"/>
      <c r="AY7" s="129"/>
      <c r="AZ7" s="281"/>
    </row>
    <row r="8" spans="1:52" ht="14.4" x14ac:dyDescent="0.3">
      <c r="A8" s="279">
        <v>1963</v>
      </c>
      <c r="B8" s="134">
        <v>540</v>
      </c>
      <c r="C8" s="134">
        <v>480</v>
      </c>
      <c r="D8" s="134">
        <v>1300</v>
      </c>
      <c r="E8" s="134">
        <v>1360</v>
      </c>
      <c r="F8" s="134">
        <v>1200</v>
      </c>
      <c r="G8" s="134">
        <v>1160</v>
      </c>
      <c r="H8" s="134">
        <v>570</v>
      </c>
      <c r="I8" s="134">
        <v>1040</v>
      </c>
      <c r="J8" s="134">
        <v>1800</v>
      </c>
      <c r="K8" s="134">
        <v>1019.9999999999999</v>
      </c>
      <c r="L8" s="134">
        <v>1180</v>
      </c>
      <c r="M8" s="134">
        <v>380</v>
      </c>
      <c r="N8" s="278">
        <v>1963</v>
      </c>
      <c r="O8" s="141">
        <v>2.678952483552052</v>
      </c>
      <c r="P8" s="141">
        <v>2.281245629043108</v>
      </c>
      <c r="Q8" s="141">
        <v>3.546017393452539</v>
      </c>
      <c r="R8" s="141">
        <v>5.0146128335103848</v>
      </c>
      <c r="S8" s="141">
        <v>4.7212148595591028</v>
      </c>
      <c r="T8" s="141">
        <v>4.7570976335152437</v>
      </c>
      <c r="U8" s="141">
        <v>3.7214233626239039</v>
      </c>
      <c r="V8" s="141">
        <v>3.8374389423768851</v>
      </c>
      <c r="W8" s="141">
        <v>3.9095190820396821</v>
      </c>
      <c r="X8" s="141">
        <v>4.2153052673550002</v>
      </c>
      <c r="Y8" s="141">
        <v>3.1490742334156079</v>
      </c>
      <c r="Z8" s="141">
        <v>3.333978120353009</v>
      </c>
      <c r="AA8" s="243" t="s">
        <v>591</v>
      </c>
      <c r="AB8" s="243" t="s">
        <v>198</v>
      </c>
      <c r="AC8" s="243">
        <v>1.1499999999999999</v>
      </c>
      <c r="AD8" s="243">
        <v>50000</v>
      </c>
      <c r="AE8" s="243">
        <v>1</v>
      </c>
      <c r="AF8" s="280">
        <v>0.55000000000000004</v>
      </c>
      <c r="AI8" s="50" t="s">
        <v>15</v>
      </c>
      <c r="AJ8" s="271" t="s">
        <v>591</v>
      </c>
      <c r="AK8" s="337" t="s">
        <v>198</v>
      </c>
      <c r="AL8" s="129">
        <v>0</v>
      </c>
      <c r="AM8" s="129">
        <v>0</v>
      </c>
      <c r="AN8" s="129">
        <v>0</v>
      </c>
      <c r="AO8" s="129">
        <v>0</v>
      </c>
      <c r="AP8" s="129">
        <v>0</v>
      </c>
      <c r="AQ8" s="129">
        <v>0</v>
      </c>
      <c r="AR8" s="129">
        <v>0</v>
      </c>
      <c r="AS8" s="129">
        <v>0</v>
      </c>
      <c r="AT8" s="129">
        <v>0</v>
      </c>
      <c r="AU8" s="129">
        <v>0</v>
      </c>
      <c r="AV8" s="129">
        <v>0</v>
      </c>
      <c r="AW8" s="129">
        <v>0</v>
      </c>
      <c r="AX8" s="50"/>
      <c r="AY8" s="129"/>
      <c r="AZ8" s="281"/>
    </row>
    <row r="9" spans="1:52" ht="14.4" x14ac:dyDescent="0.3">
      <c r="A9" s="279">
        <v>1964</v>
      </c>
      <c r="B9" s="134">
        <v>540</v>
      </c>
      <c r="C9" s="134">
        <v>480</v>
      </c>
      <c r="D9" s="134">
        <v>1300</v>
      </c>
      <c r="E9" s="134">
        <v>1360</v>
      </c>
      <c r="F9" s="134">
        <v>1200</v>
      </c>
      <c r="G9" s="134">
        <v>1160</v>
      </c>
      <c r="H9" s="134">
        <v>570</v>
      </c>
      <c r="I9" s="134">
        <v>1040</v>
      </c>
      <c r="J9" s="134">
        <v>1800</v>
      </c>
      <c r="K9" s="134">
        <v>1019.9999999999999</v>
      </c>
      <c r="L9" s="134">
        <v>1180</v>
      </c>
      <c r="M9" s="134">
        <v>380</v>
      </c>
      <c r="N9" s="278">
        <v>1964</v>
      </c>
      <c r="O9" s="141">
        <v>3.4737486903307788</v>
      </c>
      <c r="P9" s="141">
        <v>2.913902853593823</v>
      </c>
      <c r="Q9" s="141">
        <v>4.9853490834563781</v>
      </c>
      <c r="R9" s="141">
        <v>5.5330034812352116</v>
      </c>
      <c r="S9" s="141">
        <v>5.1750396106440668</v>
      </c>
      <c r="T9" s="141">
        <v>5.0581478569319307</v>
      </c>
      <c r="U9" s="141">
        <v>3.9085473391072552</v>
      </c>
      <c r="V9" s="141">
        <v>3.4472163233919662</v>
      </c>
      <c r="W9" s="141">
        <v>3.8033518142792668</v>
      </c>
      <c r="X9" s="141">
        <v>4.2103438151268131</v>
      </c>
      <c r="Y9" s="141">
        <v>3.4504628028381892</v>
      </c>
      <c r="Z9" s="141">
        <v>3.2627383363311622</v>
      </c>
      <c r="AA9" s="243" t="s">
        <v>591</v>
      </c>
      <c r="AB9" s="243" t="s">
        <v>190</v>
      </c>
      <c r="AC9" s="243">
        <v>1.1499999999999999</v>
      </c>
      <c r="AD9" s="243">
        <v>50000</v>
      </c>
      <c r="AE9" s="243">
        <v>1</v>
      </c>
      <c r="AF9" s="280">
        <v>0.55000000000000004</v>
      </c>
      <c r="AI9" s="50" t="s">
        <v>15</v>
      </c>
      <c r="AJ9" s="271" t="s">
        <v>591</v>
      </c>
      <c r="AK9" s="337" t="s">
        <v>190</v>
      </c>
      <c r="AL9" s="129">
        <v>0</v>
      </c>
      <c r="AM9" s="129">
        <v>0</v>
      </c>
      <c r="AN9" s="129">
        <v>0</v>
      </c>
      <c r="AO9" s="129">
        <v>0</v>
      </c>
      <c r="AP9" s="129">
        <v>0</v>
      </c>
      <c r="AQ9" s="129">
        <v>0</v>
      </c>
      <c r="AR9" s="129">
        <v>0</v>
      </c>
      <c r="AS9" s="129">
        <v>0</v>
      </c>
      <c r="AT9" s="129">
        <v>0</v>
      </c>
      <c r="AU9" s="129">
        <v>0</v>
      </c>
      <c r="AV9" s="129">
        <v>0</v>
      </c>
      <c r="AW9" s="129">
        <v>0</v>
      </c>
      <c r="AX9" s="50"/>
      <c r="AY9" s="129"/>
      <c r="AZ9" s="281"/>
    </row>
    <row r="10" spans="1:52" ht="14.4" x14ac:dyDescent="0.3">
      <c r="A10" s="279">
        <v>1965</v>
      </c>
      <c r="B10" s="134">
        <v>540</v>
      </c>
      <c r="C10" s="134">
        <v>480</v>
      </c>
      <c r="D10" s="134">
        <v>1300</v>
      </c>
      <c r="E10" s="134">
        <v>1360</v>
      </c>
      <c r="F10" s="134">
        <v>1200</v>
      </c>
      <c r="G10" s="134">
        <v>1160</v>
      </c>
      <c r="H10" s="134">
        <v>570</v>
      </c>
      <c r="I10" s="134">
        <v>1040</v>
      </c>
      <c r="J10" s="134">
        <v>1800</v>
      </c>
      <c r="K10" s="134">
        <v>1019.9999999999999</v>
      </c>
      <c r="L10" s="134">
        <v>1180</v>
      </c>
      <c r="M10" s="134">
        <v>380</v>
      </c>
      <c r="N10" s="278">
        <v>1965</v>
      </c>
      <c r="O10" s="141">
        <v>3.2222371645796701</v>
      </c>
      <c r="P10" s="141">
        <v>3.3843989857680929</v>
      </c>
      <c r="Q10" s="141">
        <v>3.5699318726777469</v>
      </c>
      <c r="R10" s="141">
        <v>5.0414671413392256</v>
      </c>
      <c r="S10" s="141">
        <v>4.9978111508159664</v>
      </c>
      <c r="T10" s="141">
        <v>4.3914586109756621</v>
      </c>
      <c r="U10" s="141">
        <v>3.6876288865662028</v>
      </c>
      <c r="V10" s="141">
        <v>3.711187000356698</v>
      </c>
      <c r="W10" s="141">
        <v>3.1414173431819581</v>
      </c>
      <c r="X10" s="141">
        <v>3.921684730664083</v>
      </c>
      <c r="Y10" s="141">
        <v>3.778760984560618</v>
      </c>
      <c r="Z10" s="141">
        <v>3.0007689717224322</v>
      </c>
      <c r="AA10" s="243" t="s">
        <v>592</v>
      </c>
      <c r="AB10" s="243" t="s">
        <v>206</v>
      </c>
      <c r="AC10" s="243">
        <v>1</v>
      </c>
      <c r="AD10" s="243">
        <v>20000</v>
      </c>
      <c r="AE10" s="243">
        <v>0.6</v>
      </c>
      <c r="AF10" s="280">
        <v>0.55000000000000004</v>
      </c>
      <c r="AI10" s="50" t="s">
        <v>15</v>
      </c>
      <c r="AJ10" s="271" t="s">
        <v>592</v>
      </c>
      <c r="AK10" s="337" t="s">
        <v>206</v>
      </c>
      <c r="AL10" s="129">
        <v>0</v>
      </c>
      <c r="AM10" s="129">
        <v>0</v>
      </c>
      <c r="AN10" s="129">
        <v>0</v>
      </c>
      <c r="AO10" s="129">
        <v>0</v>
      </c>
      <c r="AP10" s="129">
        <v>0</v>
      </c>
      <c r="AQ10" s="129">
        <v>0</v>
      </c>
      <c r="AR10" s="129">
        <v>0</v>
      </c>
      <c r="AS10" s="129">
        <v>0</v>
      </c>
      <c r="AT10" s="129">
        <v>0</v>
      </c>
      <c r="AU10" s="129">
        <v>0</v>
      </c>
      <c r="AV10" s="129">
        <v>0</v>
      </c>
      <c r="AW10" s="129">
        <v>0</v>
      </c>
    </row>
    <row r="11" spans="1:52" ht="14.4" x14ac:dyDescent="0.3">
      <c r="A11" s="279">
        <v>1966</v>
      </c>
      <c r="B11" s="134">
        <v>540</v>
      </c>
      <c r="C11" s="134">
        <v>480</v>
      </c>
      <c r="D11" s="134">
        <v>1300</v>
      </c>
      <c r="E11" s="134">
        <v>1360</v>
      </c>
      <c r="F11" s="134">
        <v>1200</v>
      </c>
      <c r="G11" s="134">
        <v>1160</v>
      </c>
      <c r="H11" s="134">
        <v>570</v>
      </c>
      <c r="I11" s="134">
        <v>1040</v>
      </c>
      <c r="J11" s="134">
        <v>1800</v>
      </c>
      <c r="K11" s="134">
        <v>1019.9999999999999</v>
      </c>
      <c r="L11" s="134">
        <v>1180</v>
      </c>
      <c r="M11" s="134">
        <v>380</v>
      </c>
      <c r="N11" s="278">
        <v>1966</v>
      </c>
      <c r="O11" s="141">
        <v>3.616952894629359</v>
      </c>
      <c r="P11" s="141">
        <v>3.6492097926362499</v>
      </c>
      <c r="Q11" s="141">
        <v>3.250993563258862</v>
      </c>
      <c r="R11" s="141">
        <v>5.1036873331566337</v>
      </c>
      <c r="S11" s="141">
        <v>4.7166783698449937</v>
      </c>
      <c r="T11" s="141">
        <v>5.1960849311656716</v>
      </c>
      <c r="U11" s="141">
        <v>3.2912712799602151</v>
      </c>
      <c r="V11" s="141">
        <v>3.414544878710557</v>
      </c>
      <c r="W11" s="141">
        <v>3.8842069835791588</v>
      </c>
      <c r="X11" s="141">
        <v>3.941721533773888</v>
      </c>
      <c r="Y11" s="141">
        <v>3.3444416142990239</v>
      </c>
      <c r="Z11" s="141">
        <v>3.4305368554320288</v>
      </c>
      <c r="AA11" s="243" t="s">
        <v>592</v>
      </c>
      <c r="AB11" s="243" t="s">
        <v>198</v>
      </c>
      <c r="AC11" s="243">
        <v>1</v>
      </c>
      <c r="AD11" s="243">
        <v>20000</v>
      </c>
      <c r="AE11" s="243">
        <v>0.6</v>
      </c>
      <c r="AF11" s="280">
        <v>0.55000000000000004</v>
      </c>
      <c r="AI11" s="50" t="s">
        <v>15</v>
      </c>
      <c r="AJ11" s="271" t="s">
        <v>592</v>
      </c>
      <c r="AK11" s="337" t="s">
        <v>198</v>
      </c>
      <c r="AL11" s="129">
        <v>0</v>
      </c>
      <c r="AM11" s="129">
        <v>0</v>
      </c>
      <c r="AN11" s="129">
        <v>0</v>
      </c>
      <c r="AO11" s="129">
        <v>0</v>
      </c>
      <c r="AP11" s="129">
        <v>0</v>
      </c>
      <c r="AQ11" s="129">
        <v>0</v>
      </c>
      <c r="AR11" s="129">
        <v>0</v>
      </c>
      <c r="AS11" s="129">
        <v>0</v>
      </c>
      <c r="AT11" s="129">
        <v>0</v>
      </c>
      <c r="AU11" s="129">
        <v>0</v>
      </c>
      <c r="AV11" s="129">
        <v>0</v>
      </c>
      <c r="AW11" s="129">
        <v>0</v>
      </c>
    </row>
    <row r="12" spans="1:52" ht="14.4" x14ac:dyDescent="0.3">
      <c r="A12" s="279">
        <v>1967</v>
      </c>
      <c r="B12" s="134">
        <v>540</v>
      </c>
      <c r="C12" s="134">
        <v>480</v>
      </c>
      <c r="D12" s="134">
        <v>1300</v>
      </c>
      <c r="E12" s="134">
        <v>1360</v>
      </c>
      <c r="F12" s="134">
        <v>1200</v>
      </c>
      <c r="G12" s="134">
        <v>1160</v>
      </c>
      <c r="H12" s="134">
        <v>570</v>
      </c>
      <c r="I12" s="134">
        <v>1040</v>
      </c>
      <c r="J12" s="134">
        <v>1800</v>
      </c>
      <c r="K12" s="134">
        <v>1019.9999999999999</v>
      </c>
      <c r="L12" s="134">
        <v>1180</v>
      </c>
      <c r="M12" s="134">
        <v>380</v>
      </c>
      <c r="N12" s="278">
        <v>1967</v>
      </c>
      <c r="O12" s="141">
        <v>3.4332826736864499</v>
      </c>
      <c r="P12" s="141">
        <v>3.4312872651046651</v>
      </c>
      <c r="Q12" s="141">
        <v>4.322514034575887</v>
      </c>
      <c r="R12" s="141">
        <v>3.8052820572881099</v>
      </c>
      <c r="S12" s="141">
        <v>4.7651711370797747</v>
      </c>
      <c r="T12" s="141">
        <v>4.8768470287870267</v>
      </c>
      <c r="U12" s="141">
        <v>3.6053043284888449</v>
      </c>
      <c r="V12" s="141">
        <v>3.289070265636441</v>
      </c>
      <c r="W12" s="141">
        <v>3.772879290397392</v>
      </c>
      <c r="X12" s="141">
        <v>4.106849661460231</v>
      </c>
      <c r="Y12" s="141">
        <v>3.574046505514938</v>
      </c>
      <c r="Z12" s="141">
        <v>3.3752426828509901</v>
      </c>
      <c r="AA12" s="243" t="s">
        <v>592</v>
      </c>
      <c r="AB12" s="243" t="s">
        <v>190</v>
      </c>
      <c r="AC12" s="243">
        <v>1</v>
      </c>
      <c r="AD12" s="243">
        <v>20000</v>
      </c>
      <c r="AE12" s="243">
        <v>0.6</v>
      </c>
      <c r="AF12" s="280">
        <v>0.55000000000000004</v>
      </c>
      <c r="AI12" s="50" t="s">
        <v>15</v>
      </c>
      <c r="AJ12" s="271" t="s">
        <v>592</v>
      </c>
      <c r="AK12" s="337" t="s">
        <v>190</v>
      </c>
      <c r="AL12" s="129">
        <v>0</v>
      </c>
      <c r="AM12" s="129">
        <v>0</v>
      </c>
      <c r="AN12" s="129">
        <v>0</v>
      </c>
      <c r="AO12" s="129">
        <v>0</v>
      </c>
      <c r="AP12" s="129">
        <v>0</v>
      </c>
      <c r="AQ12" s="129">
        <v>0</v>
      </c>
      <c r="AR12" s="129">
        <v>0</v>
      </c>
      <c r="AS12" s="129">
        <v>0</v>
      </c>
      <c r="AT12" s="129">
        <v>0</v>
      </c>
      <c r="AU12" s="129">
        <v>0</v>
      </c>
      <c r="AV12" s="129">
        <v>0</v>
      </c>
      <c r="AW12" s="129">
        <v>0</v>
      </c>
    </row>
    <row r="13" spans="1:52" ht="14.4" x14ac:dyDescent="0.3">
      <c r="A13" s="279">
        <v>1968</v>
      </c>
      <c r="B13" s="134">
        <v>540</v>
      </c>
      <c r="C13" s="134">
        <v>480</v>
      </c>
      <c r="D13" s="134">
        <v>1300</v>
      </c>
      <c r="E13" s="134">
        <v>1360</v>
      </c>
      <c r="F13" s="134">
        <v>1200</v>
      </c>
      <c r="G13" s="134">
        <v>1160</v>
      </c>
      <c r="H13" s="134">
        <v>570</v>
      </c>
      <c r="I13" s="134">
        <v>1040</v>
      </c>
      <c r="J13" s="134">
        <v>1800</v>
      </c>
      <c r="K13" s="134">
        <v>1019.9999999999999</v>
      </c>
      <c r="L13" s="134">
        <v>1180</v>
      </c>
      <c r="M13" s="134">
        <v>380</v>
      </c>
      <c r="N13" s="278">
        <v>1968</v>
      </c>
      <c r="O13" s="141">
        <v>3.1148222761553082</v>
      </c>
      <c r="P13" s="141">
        <v>3.1885558626231272</v>
      </c>
      <c r="Q13" s="141">
        <v>3.2632865899577261</v>
      </c>
      <c r="R13" s="141">
        <v>4.82900658374027</v>
      </c>
      <c r="S13" s="141">
        <v>4.9487436106280631</v>
      </c>
      <c r="T13" s="141">
        <v>5.3617273008792221</v>
      </c>
      <c r="U13" s="141">
        <v>4.151708553891349</v>
      </c>
      <c r="V13" s="141">
        <v>2.962998524661308</v>
      </c>
      <c r="W13" s="141">
        <v>3.9432155727817428</v>
      </c>
      <c r="X13" s="141">
        <v>4.2202853518849937</v>
      </c>
      <c r="Y13" s="141">
        <v>3.7126203902440418</v>
      </c>
      <c r="Z13" s="141">
        <v>3.8193264524376649</v>
      </c>
      <c r="AA13" s="243" t="s">
        <v>593</v>
      </c>
      <c r="AB13" s="243" t="s">
        <v>206</v>
      </c>
      <c r="AC13" s="243">
        <v>1.05</v>
      </c>
      <c r="AD13" s="243">
        <v>130000</v>
      </c>
      <c r="AE13" s="243">
        <v>0.6</v>
      </c>
      <c r="AF13" s="280">
        <v>0.45</v>
      </c>
      <c r="AI13" s="50" t="s">
        <v>15</v>
      </c>
      <c r="AJ13" s="271" t="s">
        <v>593</v>
      </c>
      <c r="AK13" s="337" t="s">
        <v>206</v>
      </c>
      <c r="AL13" s="129">
        <v>0</v>
      </c>
      <c r="AM13" s="129">
        <v>0</v>
      </c>
      <c r="AN13" s="129">
        <v>0</v>
      </c>
      <c r="AO13" s="129">
        <v>0</v>
      </c>
      <c r="AP13" s="129">
        <v>0</v>
      </c>
      <c r="AQ13" s="129">
        <v>0</v>
      </c>
      <c r="AR13" s="129">
        <v>0</v>
      </c>
      <c r="AS13" s="129">
        <v>0</v>
      </c>
      <c r="AT13" s="129">
        <v>0</v>
      </c>
      <c r="AU13" s="129">
        <v>0</v>
      </c>
      <c r="AV13" s="129">
        <v>0</v>
      </c>
      <c r="AW13" s="129">
        <v>0</v>
      </c>
    </row>
    <row r="14" spans="1:52" ht="14.4" x14ac:dyDescent="0.3">
      <c r="A14" s="279">
        <v>1969</v>
      </c>
      <c r="B14" s="134">
        <v>540</v>
      </c>
      <c r="C14" s="134">
        <v>480</v>
      </c>
      <c r="D14" s="134">
        <v>1300</v>
      </c>
      <c r="E14" s="134">
        <v>1360</v>
      </c>
      <c r="F14" s="134">
        <v>1200</v>
      </c>
      <c r="G14" s="134">
        <v>1160</v>
      </c>
      <c r="H14" s="134">
        <v>570</v>
      </c>
      <c r="I14" s="134">
        <v>1040</v>
      </c>
      <c r="J14" s="134">
        <v>1800</v>
      </c>
      <c r="K14" s="134">
        <v>1019.9999999999999</v>
      </c>
      <c r="L14" s="134">
        <v>1180</v>
      </c>
      <c r="M14" s="134">
        <v>380</v>
      </c>
      <c r="N14" s="278">
        <v>1969</v>
      </c>
      <c r="O14" s="141">
        <v>3.6979194118890391</v>
      </c>
      <c r="P14" s="141">
        <v>3.6602713612714761</v>
      </c>
      <c r="Q14" s="141">
        <v>3.725499719316363</v>
      </c>
      <c r="R14" s="141">
        <v>4.8912047419824214</v>
      </c>
      <c r="S14" s="141">
        <v>4.8026022595475126</v>
      </c>
      <c r="T14" s="141">
        <v>5.3844141951056832</v>
      </c>
      <c r="U14" s="141">
        <v>3.6968894917831561</v>
      </c>
      <c r="V14" s="141">
        <v>3.944555511615512</v>
      </c>
      <c r="W14" s="141">
        <v>4.2743181458671247</v>
      </c>
      <c r="X14" s="141">
        <v>4.1499791358910096</v>
      </c>
      <c r="Y14" s="141">
        <v>3.328929959870349</v>
      </c>
      <c r="Z14" s="141">
        <v>2.919873335360585</v>
      </c>
      <c r="AA14" s="243" t="s">
        <v>593</v>
      </c>
      <c r="AB14" s="243" t="s">
        <v>198</v>
      </c>
      <c r="AC14" s="243">
        <v>1.05</v>
      </c>
      <c r="AD14" s="243">
        <v>130000</v>
      </c>
      <c r="AE14" s="243">
        <v>0.6</v>
      </c>
      <c r="AF14" s="280">
        <v>0.45</v>
      </c>
      <c r="AI14" s="50" t="s">
        <v>15</v>
      </c>
      <c r="AJ14" s="271" t="s">
        <v>593</v>
      </c>
      <c r="AK14" s="337" t="s">
        <v>198</v>
      </c>
      <c r="AL14" s="129">
        <v>0</v>
      </c>
      <c r="AM14" s="129">
        <v>0</v>
      </c>
      <c r="AN14" s="129">
        <v>0</v>
      </c>
      <c r="AO14" s="129">
        <v>0</v>
      </c>
      <c r="AP14" s="129">
        <v>0</v>
      </c>
      <c r="AQ14" s="129">
        <v>0</v>
      </c>
      <c r="AR14" s="129">
        <v>0</v>
      </c>
      <c r="AS14" s="129">
        <v>0</v>
      </c>
      <c r="AT14" s="129">
        <v>0</v>
      </c>
      <c r="AU14" s="129">
        <v>0</v>
      </c>
      <c r="AV14" s="129">
        <v>0</v>
      </c>
      <c r="AW14" s="129">
        <v>0</v>
      </c>
    </row>
    <row r="15" spans="1:52" ht="14.4" x14ac:dyDescent="0.3">
      <c r="A15" s="279">
        <v>1970</v>
      </c>
      <c r="B15" s="134">
        <v>540</v>
      </c>
      <c r="C15" s="134">
        <v>480</v>
      </c>
      <c r="D15" s="134">
        <v>1300</v>
      </c>
      <c r="E15" s="134">
        <v>1360</v>
      </c>
      <c r="F15" s="134">
        <v>1200</v>
      </c>
      <c r="G15" s="134">
        <v>1160</v>
      </c>
      <c r="H15" s="134">
        <v>570</v>
      </c>
      <c r="I15" s="134">
        <v>1040</v>
      </c>
      <c r="J15" s="134">
        <v>1800</v>
      </c>
      <c r="K15" s="134">
        <v>1019.9999999999999</v>
      </c>
      <c r="L15" s="134">
        <v>1180</v>
      </c>
      <c r="M15" s="134">
        <v>380</v>
      </c>
      <c r="N15" s="278">
        <v>1970</v>
      </c>
      <c r="O15" s="141">
        <v>2.6144869081946212</v>
      </c>
      <c r="P15" s="141">
        <v>3.6855012072575248</v>
      </c>
      <c r="Q15" s="141">
        <v>3.7039604254291549</v>
      </c>
      <c r="R15" s="141">
        <v>4.4647446093748711</v>
      </c>
      <c r="S15" s="141">
        <v>4.4620871366862582</v>
      </c>
      <c r="T15" s="141">
        <v>4.8509588180520229</v>
      </c>
      <c r="U15" s="141">
        <v>3.2721897489544438</v>
      </c>
      <c r="V15" s="141">
        <v>3.9214535046011538</v>
      </c>
      <c r="W15" s="141">
        <v>3.9567005873567251</v>
      </c>
      <c r="X15" s="141">
        <v>3.7642453700032341</v>
      </c>
      <c r="Y15" s="141">
        <v>3.788423802452078</v>
      </c>
      <c r="Z15" s="141">
        <v>3.421468234318497</v>
      </c>
      <c r="AA15" s="243" t="s">
        <v>593</v>
      </c>
      <c r="AB15" s="243" t="s">
        <v>190</v>
      </c>
      <c r="AC15" s="243">
        <v>1.05</v>
      </c>
      <c r="AD15" s="243">
        <v>130000</v>
      </c>
      <c r="AE15" s="243">
        <v>0.6</v>
      </c>
      <c r="AF15" s="280">
        <v>0.45</v>
      </c>
      <c r="AI15" s="50" t="s">
        <v>15</v>
      </c>
      <c r="AJ15" s="271" t="s">
        <v>593</v>
      </c>
      <c r="AK15" s="337" t="s">
        <v>190</v>
      </c>
      <c r="AL15" s="129">
        <v>0</v>
      </c>
      <c r="AM15" s="129">
        <v>0</v>
      </c>
      <c r="AN15" s="129">
        <v>0</v>
      </c>
      <c r="AO15" s="129">
        <v>0</v>
      </c>
      <c r="AP15" s="129">
        <v>0</v>
      </c>
      <c r="AQ15" s="129">
        <v>0</v>
      </c>
      <c r="AR15" s="129">
        <v>0</v>
      </c>
      <c r="AS15" s="129">
        <v>0</v>
      </c>
      <c r="AT15" s="129">
        <v>0</v>
      </c>
      <c r="AU15" s="129">
        <v>0</v>
      </c>
      <c r="AV15" s="129">
        <v>0</v>
      </c>
      <c r="AW15" s="129">
        <v>0</v>
      </c>
    </row>
    <row r="16" spans="1:52" ht="16.8" x14ac:dyDescent="0.3">
      <c r="A16" s="279">
        <v>1971</v>
      </c>
      <c r="B16" s="134">
        <v>540</v>
      </c>
      <c r="C16" s="134">
        <v>480</v>
      </c>
      <c r="D16" s="134">
        <v>1300</v>
      </c>
      <c r="E16" s="134">
        <v>1360</v>
      </c>
      <c r="F16" s="134">
        <v>1200</v>
      </c>
      <c r="G16" s="134">
        <v>1160</v>
      </c>
      <c r="H16" s="134">
        <v>570</v>
      </c>
      <c r="I16" s="134">
        <v>1040</v>
      </c>
      <c r="J16" s="134">
        <v>1800</v>
      </c>
      <c r="K16" s="134">
        <v>1019.9999999999999</v>
      </c>
      <c r="L16" s="134">
        <v>1180</v>
      </c>
      <c r="M16" s="134">
        <v>380</v>
      </c>
      <c r="N16" s="278">
        <v>1971</v>
      </c>
      <c r="O16" s="141">
        <v>3.653380522462407</v>
      </c>
      <c r="P16" s="141">
        <v>3.5222546758155691</v>
      </c>
      <c r="Q16" s="141">
        <v>4.040676477775679</v>
      </c>
      <c r="R16" s="141">
        <v>4.3249826041890804</v>
      </c>
      <c r="S16" s="141">
        <v>5.1136585254992584</v>
      </c>
      <c r="T16" s="141">
        <v>4.9004465404326156</v>
      </c>
      <c r="U16" s="141">
        <v>3.5755098787628721</v>
      </c>
      <c r="V16" s="141">
        <v>3.5142411060017928</v>
      </c>
      <c r="W16" s="141">
        <v>3.6523942582236599</v>
      </c>
      <c r="X16" s="141">
        <v>4.0294673413819346</v>
      </c>
      <c r="Y16" s="141">
        <v>3.9429591646373359</v>
      </c>
      <c r="Z16" s="141">
        <v>3.54575675727971</v>
      </c>
      <c r="AA16" s="243" t="s">
        <v>594</v>
      </c>
      <c r="AB16" s="243" t="s">
        <v>206</v>
      </c>
      <c r="AC16" s="338">
        <v>1.1499999999999999</v>
      </c>
      <c r="AD16" s="243">
        <v>15000</v>
      </c>
      <c r="AE16" s="243">
        <v>0.6</v>
      </c>
      <c r="AF16" s="280">
        <v>0.55000000000000004</v>
      </c>
      <c r="AI16" s="50" t="s">
        <v>15</v>
      </c>
      <c r="AJ16" s="271" t="s">
        <v>594</v>
      </c>
      <c r="AK16" s="337" t="s">
        <v>206</v>
      </c>
      <c r="AL16" s="129">
        <v>0</v>
      </c>
      <c r="AM16" s="129">
        <v>0</v>
      </c>
      <c r="AN16" s="129">
        <v>0</v>
      </c>
      <c r="AO16" s="129">
        <v>0</v>
      </c>
      <c r="AP16" s="129">
        <v>0</v>
      </c>
      <c r="AQ16" s="129">
        <v>0</v>
      </c>
      <c r="AR16" s="129">
        <v>0</v>
      </c>
      <c r="AS16" s="129">
        <v>0</v>
      </c>
      <c r="AT16" s="129">
        <v>0</v>
      </c>
      <c r="AU16" s="129">
        <v>0</v>
      </c>
      <c r="AV16" s="129">
        <v>0</v>
      </c>
      <c r="AW16" s="129">
        <v>0</v>
      </c>
    </row>
    <row r="17" spans="1:49" ht="16.8" x14ac:dyDescent="0.3">
      <c r="A17" s="279">
        <v>1972</v>
      </c>
      <c r="B17" s="134">
        <v>540</v>
      </c>
      <c r="C17" s="134">
        <v>480</v>
      </c>
      <c r="D17" s="134">
        <v>1300</v>
      </c>
      <c r="E17" s="134">
        <v>1360</v>
      </c>
      <c r="F17" s="134">
        <v>1200</v>
      </c>
      <c r="G17" s="134">
        <v>1160</v>
      </c>
      <c r="H17" s="134">
        <v>570</v>
      </c>
      <c r="I17" s="134">
        <v>1040</v>
      </c>
      <c r="J17" s="134">
        <v>1800</v>
      </c>
      <c r="K17" s="134">
        <v>1019.9999999999999</v>
      </c>
      <c r="L17" s="134">
        <v>1180</v>
      </c>
      <c r="M17" s="134">
        <v>380</v>
      </c>
      <c r="N17" s="278">
        <v>1972</v>
      </c>
      <c r="O17" s="141">
        <v>3.36420086796184</v>
      </c>
      <c r="P17" s="141">
        <v>2.8944827759006371</v>
      </c>
      <c r="Q17" s="141">
        <v>4.0649086047340894</v>
      </c>
      <c r="R17" s="141">
        <v>4.8069127892035644</v>
      </c>
      <c r="S17" s="141">
        <v>5.7852635279127842</v>
      </c>
      <c r="T17" s="141">
        <v>4.8318856090687499</v>
      </c>
      <c r="U17" s="141">
        <v>3.4584328707290521</v>
      </c>
      <c r="V17" s="141">
        <v>2.9285170679658972</v>
      </c>
      <c r="W17" s="141">
        <v>3.6188101092551199</v>
      </c>
      <c r="X17" s="141">
        <v>3.743083059213697</v>
      </c>
      <c r="Y17" s="141">
        <v>3.916779235056572</v>
      </c>
      <c r="Z17" s="141">
        <v>3.6422860054507828</v>
      </c>
      <c r="AA17" s="243" t="s">
        <v>594</v>
      </c>
      <c r="AB17" s="243" t="s">
        <v>198</v>
      </c>
      <c r="AC17" s="338">
        <v>1.1499999999999999</v>
      </c>
      <c r="AD17" s="243">
        <v>15000</v>
      </c>
      <c r="AE17" s="243">
        <v>0.6</v>
      </c>
      <c r="AF17" s="280">
        <v>0.55000000000000004</v>
      </c>
      <c r="AI17" s="50" t="s">
        <v>15</v>
      </c>
      <c r="AJ17" s="271" t="s">
        <v>594</v>
      </c>
      <c r="AK17" s="337" t="s">
        <v>198</v>
      </c>
      <c r="AL17" s="129">
        <v>0</v>
      </c>
      <c r="AM17" s="129">
        <v>0</v>
      </c>
      <c r="AN17" s="129">
        <v>0</v>
      </c>
      <c r="AO17" s="129">
        <v>0</v>
      </c>
      <c r="AP17" s="129">
        <v>0</v>
      </c>
      <c r="AQ17" s="129">
        <v>0</v>
      </c>
      <c r="AR17" s="129">
        <v>0</v>
      </c>
      <c r="AS17" s="129">
        <v>0</v>
      </c>
      <c r="AT17" s="129">
        <v>0</v>
      </c>
      <c r="AU17" s="129">
        <v>0</v>
      </c>
      <c r="AV17" s="129">
        <v>0</v>
      </c>
      <c r="AW17" s="129">
        <v>0</v>
      </c>
    </row>
    <row r="18" spans="1:49" ht="16.8" x14ac:dyDescent="0.3">
      <c r="A18" s="279">
        <v>1973</v>
      </c>
      <c r="B18" s="134">
        <v>540</v>
      </c>
      <c r="C18" s="134">
        <v>480</v>
      </c>
      <c r="D18" s="134">
        <v>1300</v>
      </c>
      <c r="E18" s="134">
        <v>1360</v>
      </c>
      <c r="F18" s="134">
        <v>1200</v>
      </c>
      <c r="G18" s="134">
        <v>1160</v>
      </c>
      <c r="H18" s="134">
        <v>570</v>
      </c>
      <c r="I18" s="134">
        <v>1040</v>
      </c>
      <c r="J18" s="134">
        <v>1800</v>
      </c>
      <c r="K18" s="134">
        <v>1019.9999999999999</v>
      </c>
      <c r="L18" s="134">
        <v>1180</v>
      </c>
      <c r="M18" s="134">
        <v>380</v>
      </c>
      <c r="N18" s="278">
        <v>1973</v>
      </c>
      <c r="O18" s="141">
        <v>3.6008088121653792</v>
      </c>
      <c r="P18" s="141">
        <v>3.642095135765623</v>
      </c>
      <c r="Q18" s="141">
        <v>4.0629344224422974</v>
      </c>
      <c r="R18" s="141">
        <v>4.481491824691787</v>
      </c>
      <c r="S18" s="141">
        <v>4.8333651811395528</v>
      </c>
      <c r="T18" s="141">
        <v>4.3548593302558984</v>
      </c>
      <c r="U18" s="141">
        <v>3.5769874669008042</v>
      </c>
      <c r="V18" s="141">
        <v>3.139365811596619</v>
      </c>
      <c r="W18" s="141">
        <v>3.6620588516790349</v>
      </c>
      <c r="X18" s="141">
        <v>4.2073067366181442</v>
      </c>
      <c r="Y18" s="141">
        <v>3.6433809146961811</v>
      </c>
      <c r="Z18" s="141">
        <v>3.164664219635839</v>
      </c>
      <c r="AA18" s="243" t="s">
        <v>594</v>
      </c>
      <c r="AB18" s="243" t="s">
        <v>190</v>
      </c>
      <c r="AC18" s="338">
        <v>1.1499999999999999</v>
      </c>
      <c r="AD18" s="243">
        <v>15000</v>
      </c>
      <c r="AE18" s="243">
        <v>0.6</v>
      </c>
      <c r="AF18" s="280">
        <v>0.55000000000000004</v>
      </c>
      <c r="AI18" s="50" t="s">
        <v>15</v>
      </c>
      <c r="AJ18" s="271" t="s">
        <v>594</v>
      </c>
      <c r="AK18" s="337" t="s">
        <v>190</v>
      </c>
      <c r="AL18" s="129">
        <v>0</v>
      </c>
      <c r="AM18" s="129">
        <v>0</v>
      </c>
      <c r="AN18" s="129">
        <v>0</v>
      </c>
      <c r="AO18" s="129">
        <v>0</v>
      </c>
      <c r="AP18" s="129">
        <v>0</v>
      </c>
      <c r="AQ18" s="129">
        <v>0</v>
      </c>
      <c r="AR18" s="129">
        <v>0</v>
      </c>
      <c r="AS18" s="129">
        <v>0</v>
      </c>
      <c r="AT18" s="129">
        <v>0</v>
      </c>
      <c r="AU18" s="129">
        <v>0</v>
      </c>
      <c r="AV18" s="129">
        <v>0</v>
      </c>
      <c r="AW18" s="129">
        <v>0</v>
      </c>
    </row>
    <row r="19" spans="1:49" ht="14.4" x14ac:dyDescent="0.3">
      <c r="A19" s="279">
        <v>1974</v>
      </c>
      <c r="B19" s="134">
        <v>540</v>
      </c>
      <c r="C19" s="134">
        <v>480</v>
      </c>
      <c r="D19" s="134">
        <v>1300</v>
      </c>
      <c r="E19" s="134">
        <v>1360</v>
      </c>
      <c r="F19" s="134">
        <v>1200</v>
      </c>
      <c r="G19" s="134">
        <v>1160</v>
      </c>
      <c r="H19" s="134">
        <v>570</v>
      </c>
      <c r="I19" s="134">
        <v>1040</v>
      </c>
      <c r="J19" s="134">
        <v>1800</v>
      </c>
      <c r="K19" s="134">
        <v>1019.9999999999999</v>
      </c>
      <c r="L19" s="134">
        <v>1180</v>
      </c>
      <c r="M19" s="134">
        <v>380</v>
      </c>
      <c r="N19" s="278">
        <v>1974</v>
      </c>
      <c r="O19" s="141">
        <v>3.2556303993486368</v>
      </c>
      <c r="P19" s="141">
        <v>2.912561706068264</v>
      </c>
      <c r="Q19" s="141">
        <v>3.5928089533487109</v>
      </c>
      <c r="R19" s="141">
        <v>5.3155624900952683</v>
      </c>
      <c r="S19" s="141">
        <v>5.1803462335993586</v>
      </c>
      <c r="T19" s="141">
        <v>4.1547607029102798</v>
      </c>
      <c r="U19" s="141">
        <v>2.989261692051604</v>
      </c>
      <c r="V19" s="141">
        <v>3.251172635527817</v>
      </c>
      <c r="W19" s="141">
        <v>3.58810051412466</v>
      </c>
      <c r="X19" s="141">
        <v>3.3273909203056009</v>
      </c>
      <c r="Y19" s="141">
        <v>3.6119930190253342</v>
      </c>
      <c r="Z19" s="141">
        <v>3.5897253343618849</v>
      </c>
      <c r="AA19" s="243" t="s">
        <v>595</v>
      </c>
      <c r="AB19" s="243" t="s">
        <v>206</v>
      </c>
      <c r="AC19" s="243">
        <v>1.05</v>
      </c>
      <c r="AD19" s="243">
        <v>35000</v>
      </c>
      <c r="AE19" s="243">
        <v>1</v>
      </c>
      <c r="AF19" s="280">
        <v>0.55000000000000004</v>
      </c>
      <c r="AI19" s="50" t="s">
        <v>15</v>
      </c>
      <c r="AJ19" s="271" t="s">
        <v>595</v>
      </c>
      <c r="AK19" s="337" t="s">
        <v>206</v>
      </c>
      <c r="AL19" s="129">
        <v>0</v>
      </c>
      <c r="AM19" s="129">
        <v>0</v>
      </c>
      <c r="AN19" s="129">
        <v>0</v>
      </c>
      <c r="AO19" s="129">
        <v>0</v>
      </c>
      <c r="AP19" s="129">
        <v>0</v>
      </c>
      <c r="AQ19" s="129">
        <v>0</v>
      </c>
      <c r="AR19" s="129">
        <v>0</v>
      </c>
      <c r="AS19" s="129">
        <v>0</v>
      </c>
      <c r="AT19" s="129">
        <v>0</v>
      </c>
      <c r="AU19" s="129">
        <v>0</v>
      </c>
      <c r="AV19" s="129">
        <v>0</v>
      </c>
      <c r="AW19" s="129">
        <v>0</v>
      </c>
    </row>
    <row r="20" spans="1:49" ht="14.4" x14ac:dyDescent="0.3">
      <c r="A20" s="279">
        <v>1975</v>
      </c>
      <c r="B20" s="134">
        <v>540</v>
      </c>
      <c r="C20" s="134">
        <v>480</v>
      </c>
      <c r="D20" s="134">
        <v>1300</v>
      </c>
      <c r="E20" s="134">
        <v>1360</v>
      </c>
      <c r="F20" s="134">
        <v>1200</v>
      </c>
      <c r="G20" s="134">
        <v>1160</v>
      </c>
      <c r="H20" s="134">
        <v>570</v>
      </c>
      <c r="I20" s="134">
        <v>1040</v>
      </c>
      <c r="J20" s="134">
        <v>1800</v>
      </c>
      <c r="K20" s="134">
        <v>1019.9999999999999</v>
      </c>
      <c r="L20" s="134">
        <v>1180</v>
      </c>
      <c r="M20" s="134">
        <v>380</v>
      </c>
      <c r="N20" s="278">
        <v>1975</v>
      </c>
      <c r="O20" s="141">
        <v>3.646663877622327</v>
      </c>
      <c r="P20" s="141">
        <v>3.5292398747286029</v>
      </c>
      <c r="Q20" s="141">
        <v>4.0232610438499634</v>
      </c>
      <c r="R20" s="141">
        <v>5.0035218534230088</v>
      </c>
      <c r="S20" s="141">
        <v>5.4117108009974313</v>
      </c>
      <c r="T20" s="141">
        <v>4.7779416134909232</v>
      </c>
      <c r="U20" s="141">
        <v>3.0180566153209121</v>
      </c>
      <c r="V20" s="141">
        <v>2.8747913108292038</v>
      </c>
      <c r="W20" s="141">
        <v>3.7640683044484811</v>
      </c>
      <c r="X20" s="141">
        <v>4.0151389526198056</v>
      </c>
      <c r="Y20" s="141">
        <v>3.668360478977406</v>
      </c>
      <c r="Z20" s="141">
        <v>3.514627174079068</v>
      </c>
      <c r="AA20" s="243" t="s">
        <v>595</v>
      </c>
      <c r="AB20" s="243" t="s">
        <v>198</v>
      </c>
      <c r="AC20" s="243">
        <v>1.05</v>
      </c>
      <c r="AD20" s="243">
        <v>35000</v>
      </c>
      <c r="AE20" s="243">
        <v>1</v>
      </c>
      <c r="AF20" s="280">
        <v>0.55000000000000004</v>
      </c>
      <c r="AI20" s="50" t="s">
        <v>15</v>
      </c>
      <c r="AJ20" s="271" t="s">
        <v>595</v>
      </c>
      <c r="AK20" s="337" t="s">
        <v>198</v>
      </c>
      <c r="AL20" s="129">
        <v>0</v>
      </c>
      <c r="AM20" s="129">
        <v>0</v>
      </c>
      <c r="AN20" s="129">
        <v>0</v>
      </c>
      <c r="AO20" s="129">
        <v>0</v>
      </c>
      <c r="AP20" s="129">
        <v>0</v>
      </c>
      <c r="AQ20" s="129">
        <v>0</v>
      </c>
      <c r="AR20" s="129">
        <v>0</v>
      </c>
      <c r="AS20" s="129">
        <v>0</v>
      </c>
      <c r="AT20" s="129">
        <v>0</v>
      </c>
      <c r="AU20" s="129">
        <v>0</v>
      </c>
      <c r="AV20" s="129">
        <v>0</v>
      </c>
      <c r="AW20" s="129">
        <v>0</v>
      </c>
    </row>
    <row r="21" spans="1:49" ht="14.4" x14ac:dyDescent="0.3">
      <c r="A21" s="279">
        <v>1976</v>
      </c>
      <c r="B21" s="134">
        <v>540</v>
      </c>
      <c r="C21" s="134">
        <v>480</v>
      </c>
      <c r="D21" s="134">
        <v>1300</v>
      </c>
      <c r="E21" s="134">
        <v>1360</v>
      </c>
      <c r="F21" s="134">
        <v>1200</v>
      </c>
      <c r="G21" s="134">
        <v>1160</v>
      </c>
      <c r="H21" s="134">
        <v>570</v>
      </c>
      <c r="I21" s="134">
        <v>1040</v>
      </c>
      <c r="J21" s="134">
        <v>1800</v>
      </c>
      <c r="K21" s="134">
        <v>1019.9999999999999</v>
      </c>
      <c r="L21" s="134">
        <v>1180</v>
      </c>
      <c r="M21" s="134">
        <v>380</v>
      </c>
      <c r="N21" s="278">
        <v>1976</v>
      </c>
      <c r="O21" s="141">
        <v>3.3116451526227202</v>
      </c>
      <c r="P21" s="141">
        <v>3.0299682990376779</v>
      </c>
      <c r="Q21" s="141">
        <v>4.0840988368441487</v>
      </c>
      <c r="R21" s="141">
        <v>4.7100184391435356</v>
      </c>
      <c r="S21" s="141">
        <v>5.2820394125496888</v>
      </c>
      <c r="T21" s="141">
        <v>4.2785736699599379</v>
      </c>
      <c r="U21" s="141">
        <v>3.7701114904567889</v>
      </c>
      <c r="V21" s="141">
        <v>3.8235115771524941</v>
      </c>
      <c r="W21" s="141">
        <v>3.9963762221664738</v>
      </c>
      <c r="X21" s="141">
        <v>4.23120079615442</v>
      </c>
      <c r="Y21" s="141">
        <v>3.1577906748038771</v>
      </c>
      <c r="Z21" s="141">
        <v>2.6370499919630279</v>
      </c>
      <c r="AA21" s="243" t="s">
        <v>595</v>
      </c>
      <c r="AB21" s="243" t="s">
        <v>190</v>
      </c>
      <c r="AC21" s="243">
        <v>1.05</v>
      </c>
      <c r="AD21" s="243">
        <v>35000</v>
      </c>
      <c r="AE21" s="243">
        <v>1</v>
      </c>
      <c r="AF21" s="280">
        <v>0.55000000000000004</v>
      </c>
      <c r="AI21" s="50" t="s">
        <v>15</v>
      </c>
      <c r="AJ21" s="271" t="s">
        <v>595</v>
      </c>
      <c r="AK21" s="337" t="s">
        <v>190</v>
      </c>
      <c r="AL21" s="129">
        <v>0</v>
      </c>
      <c r="AM21" s="129">
        <v>0</v>
      </c>
      <c r="AN21" s="129">
        <v>0</v>
      </c>
      <c r="AO21" s="129">
        <v>0</v>
      </c>
      <c r="AP21" s="129">
        <v>0</v>
      </c>
      <c r="AQ21" s="129">
        <v>0</v>
      </c>
      <c r="AR21" s="129">
        <v>0</v>
      </c>
      <c r="AS21" s="129">
        <v>0</v>
      </c>
      <c r="AT21" s="129">
        <v>0</v>
      </c>
      <c r="AU21" s="129">
        <v>0</v>
      </c>
      <c r="AV21" s="129">
        <v>0</v>
      </c>
      <c r="AW21" s="129">
        <v>0</v>
      </c>
    </row>
    <row r="22" spans="1:49" ht="14.4" x14ac:dyDescent="0.3">
      <c r="A22" s="279">
        <v>1977</v>
      </c>
      <c r="B22" s="134">
        <v>540</v>
      </c>
      <c r="C22" s="134">
        <v>480</v>
      </c>
      <c r="D22" s="134">
        <v>1300</v>
      </c>
      <c r="E22" s="134">
        <v>1360</v>
      </c>
      <c r="F22" s="134">
        <v>1200</v>
      </c>
      <c r="G22" s="134">
        <v>1160</v>
      </c>
      <c r="H22" s="134">
        <v>570</v>
      </c>
      <c r="I22" s="134">
        <v>1040</v>
      </c>
      <c r="J22" s="134">
        <v>1800</v>
      </c>
      <c r="K22" s="134">
        <v>1019.9999999999999</v>
      </c>
      <c r="L22" s="134">
        <v>1180</v>
      </c>
      <c r="M22" s="134">
        <v>380</v>
      </c>
      <c r="N22" s="278">
        <v>1977</v>
      </c>
      <c r="O22" s="141">
        <v>2.8217285811334341</v>
      </c>
      <c r="P22" s="141">
        <v>3.554705735186471</v>
      </c>
      <c r="Q22" s="141">
        <v>4.6450555273294887</v>
      </c>
      <c r="R22" s="141">
        <v>5.3129300034779279</v>
      </c>
      <c r="S22" s="141">
        <v>5.3301776174618691</v>
      </c>
      <c r="T22" s="141">
        <v>5.2181301262523814</v>
      </c>
      <c r="U22" s="141">
        <v>4.1274020267216152</v>
      </c>
      <c r="V22" s="141">
        <v>4.0283638175144834</v>
      </c>
      <c r="W22" s="141">
        <v>4.165190127041793</v>
      </c>
      <c r="X22" s="141">
        <v>3.792114257861384</v>
      </c>
      <c r="Y22" s="141">
        <v>3.413251908277017</v>
      </c>
      <c r="Z22" s="141">
        <v>2.5516464070507392</v>
      </c>
      <c r="AA22" s="243" t="s">
        <v>596</v>
      </c>
      <c r="AB22" s="339" t="s">
        <v>206</v>
      </c>
      <c r="AC22" s="243">
        <v>1.1499999999999999</v>
      </c>
      <c r="AD22" s="243">
        <v>100</v>
      </c>
      <c r="AE22" s="243">
        <v>0.6</v>
      </c>
      <c r="AF22" s="280">
        <v>0.55000000000000004</v>
      </c>
      <c r="AI22" s="50" t="s">
        <v>15</v>
      </c>
      <c r="AJ22" s="271" t="s">
        <v>596</v>
      </c>
      <c r="AK22" s="337" t="s">
        <v>206</v>
      </c>
      <c r="AL22" s="129">
        <v>0</v>
      </c>
      <c r="AM22" s="129">
        <v>0</v>
      </c>
      <c r="AN22" s="129">
        <v>0</v>
      </c>
      <c r="AO22" s="129">
        <v>0</v>
      </c>
      <c r="AP22" s="129">
        <v>0</v>
      </c>
      <c r="AQ22" s="129">
        <v>0</v>
      </c>
      <c r="AR22" s="129">
        <v>0</v>
      </c>
      <c r="AS22" s="129">
        <v>0</v>
      </c>
      <c r="AT22" s="129">
        <v>0</v>
      </c>
      <c r="AU22" s="129">
        <v>0</v>
      </c>
      <c r="AV22" s="129">
        <v>0</v>
      </c>
      <c r="AW22" s="129">
        <v>0</v>
      </c>
    </row>
    <row r="23" spans="1:49" ht="14.4" x14ac:dyDescent="0.3">
      <c r="A23" s="279">
        <v>1978</v>
      </c>
      <c r="B23" s="134">
        <v>540</v>
      </c>
      <c r="C23" s="134">
        <v>480</v>
      </c>
      <c r="D23" s="134">
        <v>1300</v>
      </c>
      <c r="E23" s="134">
        <v>1360</v>
      </c>
      <c r="F23" s="134">
        <v>1200</v>
      </c>
      <c r="G23" s="134">
        <v>1160</v>
      </c>
      <c r="H23" s="134">
        <v>570</v>
      </c>
      <c r="I23" s="134">
        <v>1040</v>
      </c>
      <c r="J23" s="134">
        <v>1800</v>
      </c>
      <c r="K23" s="134">
        <v>1019.9999999999999</v>
      </c>
      <c r="L23" s="134">
        <v>1180</v>
      </c>
      <c r="M23" s="134">
        <v>380</v>
      </c>
      <c r="N23" s="278">
        <v>1978</v>
      </c>
      <c r="O23" s="141">
        <v>3.217651816964906</v>
      </c>
      <c r="P23" s="141">
        <v>4.1946437053050749</v>
      </c>
      <c r="Q23" s="141">
        <v>3.5915582837896678</v>
      </c>
      <c r="R23" s="141">
        <v>4.994824723858132</v>
      </c>
      <c r="S23" s="141">
        <v>5.0046630398556244</v>
      </c>
      <c r="T23" s="141">
        <v>4.521383109542656</v>
      </c>
      <c r="U23" s="141">
        <v>3.676342375761751</v>
      </c>
      <c r="V23" s="141">
        <v>3.6313595983066982</v>
      </c>
      <c r="W23" s="141">
        <v>3.8438019683493851</v>
      </c>
      <c r="X23" s="141">
        <v>4.0513236530462766</v>
      </c>
      <c r="Y23" s="141">
        <v>3.6192587543641488</v>
      </c>
      <c r="Z23" s="141">
        <v>3.267679372210575</v>
      </c>
      <c r="AA23" s="243" t="s">
        <v>596</v>
      </c>
      <c r="AB23" s="339" t="s">
        <v>198</v>
      </c>
      <c r="AC23" s="243">
        <v>1.1499999999999999</v>
      </c>
      <c r="AD23" s="243">
        <v>100</v>
      </c>
      <c r="AE23" s="243">
        <v>0.6</v>
      </c>
      <c r="AF23" s="280">
        <v>0.55000000000000004</v>
      </c>
      <c r="AI23" s="50" t="s">
        <v>15</v>
      </c>
      <c r="AJ23" s="271" t="s">
        <v>596</v>
      </c>
      <c r="AK23" s="337" t="s">
        <v>198</v>
      </c>
      <c r="AL23" s="129">
        <v>0</v>
      </c>
      <c r="AM23" s="129">
        <v>0</v>
      </c>
      <c r="AN23" s="129">
        <v>0</v>
      </c>
      <c r="AO23" s="129">
        <v>0</v>
      </c>
      <c r="AP23" s="129">
        <v>0</v>
      </c>
      <c r="AQ23" s="129">
        <v>0</v>
      </c>
      <c r="AR23" s="129">
        <v>0</v>
      </c>
      <c r="AS23" s="129">
        <v>0</v>
      </c>
      <c r="AT23" s="129">
        <v>0</v>
      </c>
      <c r="AU23" s="129">
        <v>0</v>
      </c>
      <c r="AV23" s="129">
        <v>0</v>
      </c>
      <c r="AW23" s="129">
        <v>0</v>
      </c>
    </row>
    <row r="24" spans="1:49" ht="14.4" x14ac:dyDescent="0.3">
      <c r="A24" s="279">
        <v>1979</v>
      </c>
      <c r="B24" s="134">
        <v>540</v>
      </c>
      <c r="C24" s="134">
        <v>480</v>
      </c>
      <c r="D24" s="134">
        <v>1300</v>
      </c>
      <c r="E24" s="134">
        <v>1360</v>
      </c>
      <c r="F24" s="134">
        <v>1200</v>
      </c>
      <c r="G24" s="134">
        <v>1160</v>
      </c>
      <c r="H24" s="134">
        <v>570</v>
      </c>
      <c r="I24" s="134">
        <v>1040</v>
      </c>
      <c r="J24" s="134">
        <v>1800</v>
      </c>
      <c r="K24" s="134">
        <v>1019.9999999999999</v>
      </c>
      <c r="L24" s="134">
        <v>1180</v>
      </c>
      <c r="M24" s="134">
        <v>380</v>
      </c>
      <c r="N24" s="278">
        <v>1979</v>
      </c>
      <c r="O24" s="141">
        <v>3.030920869986574</v>
      </c>
      <c r="P24" s="141">
        <v>3.322704337141078</v>
      </c>
      <c r="Q24" s="141">
        <v>3.5565522088031831</v>
      </c>
      <c r="R24" s="141">
        <v>4.8646128534543598</v>
      </c>
      <c r="S24" s="141">
        <v>5.2373945275343026</v>
      </c>
      <c r="T24" s="141">
        <v>5.023253479641661</v>
      </c>
      <c r="U24" s="141">
        <v>3.6873841889778141</v>
      </c>
      <c r="V24" s="141">
        <v>3.8179138075699668</v>
      </c>
      <c r="W24" s="141">
        <v>3.920237361941731</v>
      </c>
      <c r="X24" s="141">
        <v>4.0867901838814227</v>
      </c>
      <c r="Y24" s="141">
        <v>3.2513729494198849</v>
      </c>
      <c r="Z24" s="141">
        <v>3.053213513707119</v>
      </c>
      <c r="AA24" s="243" t="s">
        <v>596</v>
      </c>
      <c r="AB24" s="339" t="s">
        <v>190</v>
      </c>
      <c r="AC24" s="243">
        <v>1.1499999999999999</v>
      </c>
      <c r="AD24" s="243">
        <v>100</v>
      </c>
      <c r="AE24" s="243">
        <v>0.6</v>
      </c>
      <c r="AF24" s="280">
        <v>0.55000000000000004</v>
      </c>
      <c r="AI24" s="50" t="s">
        <v>15</v>
      </c>
      <c r="AJ24" s="271" t="s">
        <v>596</v>
      </c>
      <c r="AK24" s="337" t="s">
        <v>190</v>
      </c>
      <c r="AL24" s="129">
        <v>0</v>
      </c>
      <c r="AM24" s="129">
        <v>0</v>
      </c>
      <c r="AN24" s="129">
        <v>0</v>
      </c>
      <c r="AO24" s="129">
        <v>0</v>
      </c>
      <c r="AP24" s="129">
        <v>0</v>
      </c>
      <c r="AQ24" s="129">
        <v>0</v>
      </c>
      <c r="AR24" s="129">
        <v>0</v>
      </c>
      <c r="AS24" s="129">
        <v>0</v>
      </c>
      <c r="AT24" s="129">
        <v>0</v>
      </c>
      <c r="AU24" s="129">
        <v>0</v>
      </c>
      <c r="AV24" s="129">
        <v>0</v>
      </c>
      <c r="AW24" s="129">
        <v>0</v>
      </c>
    </row>
    <row r="25" spans="1:49" ht="14.4" x14ac:dyDescent="0.3">
      <c r="A25" s="279">
        <v>1980</v>
      </c>
      <c r="B25" s="340">
        <v>84.09</v>
      </c>
      <c r="C25" s="341">
        <v>94.15</v>
      </c>
      <c r="D25" s="340">
        <v>75.34</v>
      </c>
      <c r="E25" s="341">
        <v>75.180000000000007</v>
      </c>
      <c r="F25" s="340">
        <v>30.88</v>
      </c>
      <c r="G25" s="341">
        <v>11.47</v>
      </c>
      <c r="H25" s="340">
        <v>2.06</v>
      </c>
      <c r="I25" s="341">
        <v>16.22</v>
      </c>
      <c r="J25" s="340">
        <v>25.14</v>
      </c>
      <c r="K25" s="341">
        <v>71.62</v>
      </c>
      <c r="L25" s="340">
        <v>22.58</v>
      </c>
      <c r="M25" s="341">
        <v>152.99</v>
      </c>
      <c r="N25" s="278">
        <v>1980</v>
      </c>
      <c r="O25" s="141">
        <v>2.71660071530887</v>
      </c>
      <c r="P25" s="141">
        <v>3.5507544300179399</v>
      </c>
      <c r="Q25" s="141">
        <v>4.0766051976730404</v>
      </c>
      <c r="R25" s="141">
        <v>5.2042619263743521</v>
      </c>
      <c r="S25" s="141">
        <v>5.3593134472400399</v>
      </c>
      <c r="T25" s="141">
        <v>4.4035743251010411</v>
      </c>
      <c r="U25" s="141">
        <v>3.6264363935861841</v>
      </c>
      <c r="V25" s="141">
        <v>3.381585808309679</v>
      </c>
      <c r="W25" s="141">
        <v>3.7266406905941141</v>
      </c>
      <c r="X25" s="141">
        <v>4.2005935498467863</v>
      </c>
      <c r="Y25" s="141">
        <v>3.194144988512722</v>
      </c>
      <c r="Z25" s="141">
        <v>2.7910131771583151</v>
      </c>
      <c r="AA25" s="243" t="s">
        <v>589</v>
      </c>
      <c r="AB25" s="244" t="s">
        <v>206</v>
      </c>
      <c r="AC25" s="243">
        <v>0.85</v>
      </c>
      <c r="AD25" s="243">
        <v>90000</v>
      </c>
      <c r="AE25" s="243">
        <v>1.5</v>
      </c>
      <c r="AF25" s="280">
        <v>0.5</v>
      </c>
      <c r="AI25" s="50" t="s">
        <v>15</v>
      </c>
      <c r="AJ25" s="271" t="s">
        <v>597</v>
      </c>
      <c r="AK25" s="337" t="s">
        <v>206</v>
      </c>
      <c r="AL25" s="129">
        <v>0</v>
      </c>
      <c r="AM25" s="129">
        <v>0</v>
      </c>
      <c r="AN25" s="129">
        <v>0</v>
      </c>
      <c r="AO25" s="129">
        <v>0</v>
      </c>
      <c r="AP25" s="129">
        <v>0</v>
      </c>
      <c r="AQ25" s="129">
        <v>0</v>
      </c>
      <c r="AR25" s="129">
        <v>0</v>
      </c>
      <c r="AS25" s="129">
        <v>0</v>
      </c>
      <c r="AT25" s="129">
        <v>0</v>
      </c>
      <c r="AU25" s="129">
        <v>0</v>
      </c>
      <c r="AV25" s="129">
        <v>0</v>
      </c>
      <c r="AW25" s="129">
        <v>0</v>
      </c>
    </row>
    <row r="26" spans="1:49" ht="14.4" x14ac:dyDescent="0.3">
      <c r="A26" s="279">
        <v>1981</v>
      </c>
      <c r="B26" s="340">
        <v>84.09</v>
      </c>
      <c r="C26" s="341">
        <v>94.15</v>
      </c>
      <c r="D26" s="340">
        <v>75.34</v>
      </c>
      <c r="E26" s="341">
        <v>75.180000000000007</v>
      </c>
      <c r="F26" s="340">
        <v>30.88</v>
      </c>
      <c r="G26" s="341">
        <v>11.47</v>
      </c>
      <c r="H26" s="340">
        <v>2.06</v>
      </c>
      <c r="I26" s="341">
        <v>16.22</v>
      </c>
      <c r="J26" s="340">
        <v>25.14</v>
      </c>
      <c r="K26" s="341">
        <v>71.62</v>
      </c>
      <c r="L26" s="340">
        <v>22.58</v>
      </c>
      <c r="M26" s="341">
        <v>152.99</v>
      </c>
      <c r="N26" s="278">
        <v>1981</v>
      </c>
      <c r="O26" s="141">
        <v>3.560598511256841</v>
      </c>
      <c r="P26" s="141">
        <v>3.9396039299127938</v>
      </c>
      <c r="Q26" s="141">
        <v>4.1237028052509244</v>
      </c>
      <c r="R26" s="141">
        <v>4.3170258501389176</v>
      </c>
      <c r="S26" s="141">
        <v>5.3821118609816336</v>
      </c>
      <c r="T26" s="141">
        <v>4.0488840031863313</v>
      </c>
      <c r="U26" s="141">
        <v>3.8527034567773462</v>
      </c>
      <c r="V26" s="141">
        <v>3.6459155162823009</v>
      </c>
      <c r="W26" s="141">
        <v>3.6389963691224971</v>
      </c>
      <c r="X26" s="141">
        <v>4.3037350707241382</v>
      </c>
      <c r="Y26" s="141">
        <v>3.0675242906754789</v>
      </c>
      <c r="Z26" s="141">
        <v>2.8418723077124719</v>
      </c>
      <c r="AA26" s="243" t="s">
        <v>589</v>
      </c>
      <c r="AB26" s="244" t="s">
        <v>198</v>
      </c>
      <c r="AC26" s="243">
        <v>0.85</v>
      </c>
      <c r="AD26" s="243">
        <v>90000</v>
      </c>
      <c r="AE26" s="243">
        <v>1.5</v>
      </c>
      <c r="AF26" s="280">
        <v>0.5</v>
      </c>
      <c r="AI26" s="50" t="s">
        <v>15</v>
      </c>
      <c r="AJ26" s="271" t="s">
        <v>597</v>
      </c>
      <c r="AK26" s="337" t="s">
        <v>198</v>
      </c>
      <c r="AL26" s="129">
        <v>0</v>
      </c>
      <c r="AM26" s="129">
        <v>0</v>
      </c>
      <c r="AN26" s="129">
        <v>0</v>
      </c>
      <c r="AO26" s="129">
        <v>0</v>
      </c>
      <c r="AP26" s="129">
        <v>0</v>
      </c>
      <c r="AQ26" s="129">
        <v>0</v>
      </c>
      <c r="AR26" s="129">
        <v>0</v>
      </c>
      <c r="AS26" s="129">
        <v>0</v>
      </c>
      <c r="AT26" s="129">
        <v>0</v>
      </c>
      <c r="AU26" s="129">
        <v>0</v>
      </c>
      <c r="AV26" s="129">
        <v>0</v>
      </c>
      <c r="AW26" s="129">
        <v>0</v>
      </c>
    </row>
    <row r="27" spans="1:49" ht="14.4" x14ac:dyDescent="0.3">
      <c r="A27" s="279">
        <v>1982</v>
      </c>
      <c r="B27" s="340">
        <v>202.87</v>
      </c>
      <c r="C27" s="341">
        <v>122.68</v>
      </c>
      <c r="D27" s="340">
        <v>93.48</v>
      </c>
      <c r="E27" s="341">
        <v>52.74</v>
      </c>
      <c r="F27" s="340">
        <v>41.59</v>
      </c>
      <c r="G27" s="341">
        <v>19.22</v>
      </c>
      <c r="H27" s="340">
        <v>3.34</v>
      </c>
      <c r="I27" s="341">
        <v>9.0399999999999991</v>
      </c>
      <c r="J27" s="340">
        <v>38.99</v>
      </c>
      <c r="K27" s="341">
        <v>76.17</v>
      </c>
      <c r="L27" s="340">
        <v>216.88</v>
      </c>
      <c r="M27" s="341">
        <v>219.91</v>
      </c>
      <c r="N27" s="278">
        <v>1982</v>
      </c>
      <c r="O27" s="141">
        <v>2.8155814458749191</v>
      </c>
      <c r="P27" s="141">
        <v>3.1666360894261678</v>
      </c>
      <c r="Q27" s="141">
        <v>3.668655221487148</v>
      </c>
      <c r="R27" s="141">
        <v>4.4510949732367422</v>
      </c>
      <c r="S27" s="141">
        <v>5.5791561989213649</v>
      </c>
      <c r="T27" s="141">
        <v>4.9446465334536773</v>
      </c>
      <c r="U27" s="141">
        <v>3.184281946830708</v>
      </c>
      <c r="V27" s="141">
        <v>3.476399553401436</v>
      </c>
      <c r="W27" s="141">
        <v>3.725155123764615</v>
      </c>
      <c r="X27" s="141">
        <v>4.0554505031479247</v>
      </c>
      <c r="Y27" s="141">
        <v>3.781119510082064</v>
      </c>
      <c r="Z27" s="141">
        <v>3.2447794776692969</v>
      </c>
      <c r="AA27" s="243" t="s">
        <v>589</v>
      </c>
      <c r="AB27" s="244" t="s">
        <v>190</v>
      </c>
      <c r="AC27" s="243">
        <v>0.85</v>
      </c>
      <c r="AD27" s="243">
        <v>90000</v>
      </c>
      <c r="AE27" s="243">
        <v>1.5</v>
      </c>
      <c r="AF27" s="280">
        <v>0.5</v>
      </c>
      <c r="AI27" s="50" t="s">
        <v>15</v>
      </c>
      <c r="AJ27" s="271" t="s">
        <v>597</v>
      </c>
      <c r="AK27" s="337" t="s">
        <v>190</v>
      </c>
      <c r="AL27" s="129">
        <v>0</v>
      </c>
      <c r="AM27" s="129">
        <v>0</v>
      </c>
      <c r="AN27" s="129">
        <v>0</v>
      </c>
      <c r="AO27" s="129">
        <v>0</v>
      </c>
      <c r="AP27" s="129">
        <v>0</v>
      </c>
      <c r="AQ27" s="129">
        <v>0</v>
      </c>
      <c r="AR27" s="129">
        <v>0</v>
      </c>
      <c r="AS27" s="129">
        <v>0</v>
      </c>
      <c r="AT27" s="129">
        <v>0</v>
      </c>
      <c r="AU27" s="129">
        <v>0</v>
      </c>
      <c r="AV27" s="129">
        <v>0</v>
      </c>
      <c r="AW27" s="129">
        <v>0</v>
      </c>
    </row>
    <row r="28" spans="1:49" ht="14.4" x14ac:dyDescent="0.3">
      <c r="A28" s="279">
        <v>1983</v>
      </c>
      <c r="B28" s="340">
        <v>35.65</v>
      </c>
      <c r="C28" s="341">
        <v>79.14</v>
      </c>
      <c r="D28" s="340">
        <v>47.86</v>
      </c>
      <c r="E28" s="341">
        <v>41.29</v>
      </c>
      <c r="F28" s="340">
        <v>24.94</v>
      </c>
      <c r="G28" s="341">
        <v>9.7100000000000009</v>
      </c>
      <c r="H28" s="340">
        <v>7.52</v>
      </c>
      <c r="I28" s="341">
        <v>9.08</v>
      </c>
      <c r="J28" s="340">
        <v>10.86</v>
      </c>
      <c r="K28" s="341">
        <v>30.94</v>
      </c>
      <c r="L28" s="340">
        <v>78.260000000000005</v>
      </c>
      <c r="M28" s="341">
        <v>92.41</v>
      </c>
      <c r="N28" s="278">
        <v>1983</v>
      </c>
      <c r="O28" s="141">
        <v>3.403658317788703</v>
      </c>
      <c r="P28" s="141">
        <v>3.0304555429099431</v>
      </c>
      <c r="Q28" s="141">
        <v>4.5897089065857974</v>
      </c>
      <c r="R28" s="141">
        <v>4.9634191964347814</v>
      </c>
      <c r="S28" s="141">
        <v>5.587650720914584</v>
      </c>
      <c r="T28" s="141">
        <v>4.580206158872441</v>
      </c>
      <c r="U28" s="141">
        <v>3.861685035799689</v>
      </c>
      <c r="V28" s="141">
        <v>3.804759192188381</v>
      </c>
      <c r="W28" s="141">
        <v>3.687488345656186</v>
      </c>
      <c r="X28" s="141">
        <v>4.2028498471903264</v>
      </c>
      <c r="Y28" s="141">
        <v>3.6814539811867699</v>
      </c>
      <c r="Z28" s="141">
        <v>2.878266801768409</v>
      </c>
      <c r="AA28" s="243" t="s">
        <v>597</v>
      </c>
      <c r="AB28" s="243" t="s">
        <v>206</v>
      </c>
      <c r="AC28" s="243">
        <v>1.05</v>
      </c>
      <c r="AD28" s="243">
        <v>15000</v>
      </c>
      <c r="AE28" s="243">
        <v>0.8</v>
      </c>
      <c r="AF28" s="280">
        <v>0.55000000000000004</v>
      </c>
      <c r="AI28" s="50" t="s">
        <v>15</v>
      </c>
      <c r="AJ28" s="271" t="s">
        <v>598</v>
      </c>
      <c r="AK28" s="337" t="s">
        <v>206</v>
      </c>
      <c r="AL28" s="129">
        <v>0</v>
      </c>
      <c r="AM28" s="129">
        <v>0</v>
      </c>
      <c r="AN28" s="129">
        <v>0</v>
      </c>
      <c r="AO28" s="129">
        <v>0</v>
      </c>
      <c r="AP28" s="129">
        <v>0</v>
      </c>
      <c r="AQ28" s="129">
        <v>0</v>
      </c>
      <c r="AR28" s="129">
        <v>0</v>
      </c>
      <c r="AS28" s="129">
        <v>0</v>
      </c>
      <c r="AT28" s="129">
        <v>0</v>
      </c>
      <c r="AU28" s="129">
        <v>0</v>
      </c>
      <c r="AV28" s="129">
        <v>0</v>
      </c>
      <c r="AW28" s="129">
        <v>0</v>
      </c>
    </row>
    <row r="29" spans="1:49" ht="14.4" x14ac:dyDescent="0.3">
      <c r="A29" s="279">
        <v>1984</v>
      </c>
      <c r="B29" s="340">
        <v>168.45</v>
      </c>
      <c r="C29" s="341">
        <v>141.66999999999999</v>
      </c>
      <c r="D29" s="340">
        <v>56.75</v>
      </c>
      <c r="E29" s="341">
        <v>45.24</v>
      </c>
      <c r="F29" s="340">
        <v>61.26</v>
      </c>
      <c r="G29" s="341">
        <v>14.12</v>
      </c>
      <c r="H29" s="340">
        <v>2.35</v>
      </c>
      <c r="I29" s="341">
        <v>9.23</v>
      </c>
      <c r="J29" s="340">
        <v>26.64</v>
      </c>
      <c r="K29" s="341">
        <v>144.86000000000001</v>
      </c>
      <c r="L29" s="340">
        <v>75.05</v>
      </c>
      <c r="M29" s="341">
        <v>163.38999999999999</v>
      </c>
      <c r="N29" s="278">
        <v>1984</v>
      </c>
      <c r="O29" s="141">
        <v>3.2912993246965332</v>
      </c>
      <c r="P29" s="141">
        <v>3.047858452266714</v>
      </c>
      <c r="Q29" s="141">
        <v>4.0835042637046106</v>
      </c>
      <c r="R29" s="141">
        <v>5.094838621513353</v>
      </c>
      <c r="S29" s="141">
        <v>4.7962828219638949</v>
      </c>
      <c r="T29" s="141">
        <v>4.0645479211513971</v>
      </c>
      <c r="U29" s="141">
        <v>3.6694931246650802</v>
      </c>
      <c r="V29" s="141">
        <v>3.4464402396611211</v>
      </c>
      <c r="W29" s="141">
        <v>3.8767083831768749</v>
      </c>
      <c r="X29" s="141">
        <v>3.843780266671565</v>
      </c>
      <c r="Y29" s="141">
        <v>3.8234719440578009</v>
      </c>
      <c r="Z29" s="141">
        <v>3.2406403682470599</v>
      </c>
      <c r="AA29" s="243" t="s">
        <v>597</v>
      </c>
      <c r="AB29" s="243" t="s">
        <v>198</v>
      </c>
      <c r="AC29" s="243">
        <v>1.05</v>
      </c>
      <c r="AD29" s="243">
        <v>15000</v>
      </c>
      <c r="AE29" s="243">
        <v>0.8</v>
      </c>
      <c r="AF29" s="280">
        <v>0.55000000000000004</v>
      </c>
      <c r="AI29" s="50" t="s">
        <v>15</v>
      </c>
      <c r="AJ29" s="271" t="s">
        <v>598</v>
      </c>
      <c r="AK29" s="337" t="s">
        <v>198</v>
      </c>
      <c r="AL29" s="129">
        <v>0</v>
      </c>
      <c r="AM29" s="129">
        <v>0</v>
      </c>
      <c r="AN29" s="129">
        <v>0</v>
      </c>
      <c r="AO29" s="129">
        <v>0</v>
      </c>
      <c r="AP29" s="129">
        <v>0</v>
      </c>
      <c r="AQ29" s="129">
        <v>0</v>
      </c>
      <c r="AR29" s="129">
        <v>0</v>
      </c>
      <c r="AS29" s="129">
        <v>0</v>
      </c>
      <c r="AT29" s="129">
        <v>0</v>
      </c>
      <c r="AU29" s="129">
        <v>0</v>
      </c>
      <c r="AV29" s="129">
        <v>0</v>
      </c>
      <c r="AW29" s="129">
        <v>0</v>
      </c>
    </row>
    <row r="30" spans="1:49" ht="14.4" x14ac:dyDescent="0.3">
      <c r="A30" s="279">
        <v>1985</v>
      </c>
      <c r="B30" s="340">
        <v>131.44</v>
      </c>
      <c r="C30" s="341">
        <v>52.6</v>
      </c>
      <c r="D30" s="340">
        <v>71.61</v>
      </c>
      <c r="E30" s="341">
        <v>31.59</v>
      </c>
      <c r="F30" s="340">
        <v>93.92</v>
      </c>
      <c r="G30" s="341">
        <v>8.3800000000000008</v>
      </c>
      <c r="H30" s="340">
        <v>2.82</v>
      </c>
      <c r="I30" s="341">
        <v>3.38</v>
      </c>
      <c r="J30" s="340">
        <v>47.31</v>
      </c>
      <c r="K30" s="341">
        <v>53.06</v>
      </c>
      <c r="L30" s="340">
        <v>124.94</v>
      </c>
      <c r="M30" s="341">
        <v>117.95</v>
      </c>
      <c r="N30" s="278">
        <v>1985</v>
      </c>
      <c r="O30" s="141">
        <v>3.4719690335598541</v>
      </c>
      <c r="P30" s="141">
        <v>4.1147744100524282</v>
      </c>
      <c r="Q30" s="141">
        <v>4.5653359396660393</v>
      </c>
      <c r="R30" s="141">
        <v>5.2847520539468924</v>
      </c>
      <c r="S30" s="141">
        <v>5.1803320236883073</v>
      </c>
      <c r="T30" s="141">
        <v>4.035090176611078</v>
      </c>
      <c r="U30" s="141">
        <v>3.7872160518736662</v>
      </c>
      <c r="V30" s="141">
        <v>3.936122992473126</v>
      </c>
      <c r="W30" s="141">
        <v>3.5829041657039959</v>
      </c>
      <c r="X30" s="141">
        <v>3.689342742473054</v>
      </c>
      <c r="Y30" s="141">
        <v>3.7596419685967102</v>
      </c>
      <c r="Z30" s="141">
        <v>3.457749372892672</v>
      </c>
      <c r="AA30" s="243" t="s">
        <v>597</v>
      </c>
      <c r="AB30" s="243" t="s">
        <v>190</v>
      </c>
      <c r="AC30" s="243">
        <v>1.05</v>
      </c>
      <c r="AD30" s="243">
        <v>15000</v>
      </c>
      <c r="AE30" s="243">
        <v>0.8</v>
      </c>
      <c r="AF30" s="280">
        <v>0.55000000000000004</v>
      </c>
      <c r="AI30" s="50" t="s">
        <v>15</v>
      </c>
      <c r="AJ30" s="271" t="s">
        <v>598</v>
      </c>
      <c r="AK30" s="337" t="s">
        <v>190</v>
      </c>
      <c r="AL30" s="129">
        <v>0</v>
      </c>
      <c r="AM30" s="129">
        <v>0</v>
      </c>
      <c r="AN30" s="129">
        <v>0</v>
      </c>
      <c r="AO30" s="129">
        <v>0</v>
      </c>
      <c r="AP30" s="129">
        <v>0</v>
      </c>
      <c r="AQ30" s="129">
        <v>0</v>
      </c>
      <c r="AR30" s="129">
        <v>0</v>
      </c>
      <c r="AS30" s="129">
        <v>0</v>
      </c>
      <c r="AT30" s="129">
        <v>0</v>
      </c>
      <c r="AU30" s="129">
        <v>0</v>
      </c>
      <c r="AV30" s="129">
        <v>0</v>
      </c>
      <c r="AW30" s="129">
        <v>0</v>
      </c>
    </row>
    <row r="31" spans="1:49" ht="14.4" x14ac:dyDescent="0.3">
      <c r="A31" s="279">
        <v>1986</v>
      </c>
      <c r="B31" s="340">
        <v>157.4</v>
      </c>
      <c r="C31" s="341">
        <v>101.71</v>
      </c>
      <c r="D31" s="340">
        <v>205.84</v>
      </c>
      <c r="E31" s="341">
        <v>47.75</v>
      </c>
      <c r="F31" s="340">
        <v>19.64</v>
      </c>
      <c r="G31" s="341">
        <v>17.850000000000001</v>
      </c>
      <c r="H31" s="340">
        <v>5.18</v>
      </c>
      <c r="I31" s="341">
        <v>4.71</v>
      </c>
      <c r="J31" s="340">
        <v>40.89</v>
      </c>
      <c r="K31" s="341">
        <v>62.2</v>
      </c>
      <c r="L31" s="340">
        <v>122.53</v>
      </c>
      <c r="M31" s="341">
        <v>235.33</v>
      </c>
      <c r="N31" s="278">
        <v>1986</v>
      </c>
      <c r="O31" s="141">
        <v>3.5214831581598061</v>
      </c>
      <c r="P31" s="141">
        <v>3.7316660564871982</v>
      </c>
      <c r="Q31" s="141">
        <v>3.4765367041956461</v>
      </c>
      <c r="R31" s="141">
        <v>5.1307759718234864</v>
      </c>
      <c r="S31" s="141">
        <v>4.9105954397392662</v>
      </c>
      <c r="T31" s="141">
        <v>4.6375119028027001</v>
      </c>
      <c r="U31" s="141">
        <v>3.6208014723423312</v>
      </c>
      <c r="V31" s="141">
        <v>3.3779798879449099</v>
      </c>
      <c r="W31" s="141">
        <v>3.6867975217597739</v>
      </c>
      <c r="X31" s="141">
        <v>4.0617190923110336</v>
      </c>
      <c r="Y31" s="141">
        <v>3.8272426854102721</v>
      </c>
      <c r="Z31" s="141">
        <v>3.4668969624484949</v>
      </c>
      <c r="AA31" s="243" t="s">
        <v>598</v>
      </c>
      <c r="AB31" s="243" t="s">
        <v>206</v>
      </c>
      <c r="AC31" s="243">
        <v>1.1499999999999999</v>
      </c>
      <c r="AD31" s="342">
        <v>7500</v>
      </c>
      <c r="AE31" s="243">
        <v>1.5</v>
      </c>
      <c r="AF31" s="280">
        <v>0.55000000000000004</v>
      </c>
      <c r="AI31" s="50" t="s">
        <v>15</v>
      </c>
      <c r="AJ31" s="271" t="s">
        <v>599</v>
      </c>
      <c r="AK31" s="337" t="s">
        <v>206</v>
      </c>
      <c r="AL31" s="129">
        <v>0</v>
      </c>
      <c r="AM31" s="129">
        <v>0</v>
      </c>
      <c r="AN31" s="129">
        <v>0</v>
      </c>
      <c r="AO31" s="129">
        <v>0</v>
      </c>
      <c r="AP31" s="129">
        <v>0</v>
      </c>
      <c r="AQ31" s="129">
        <v>0</v>
      </c>
      <c r="AR31" s="129">
        <v>0</v>
      </c>
      <c r="AS31" s="129">
        <v>0</v>
      </c>
      <c r="AT31" s="129">
        <v>0</v>
      </c>
      <c r="AU31" s="129">
        <v>0</v>
      </c>
      <c r="AV31" s="129">
        <v>0</v>
      </c>
      <c r="AW31" s="129">
        <v>0</v>
      </c>
    </row>
    <row r="32" spans="1:49" ht="14.4" x14ac:dyDescent="0.3">
      <c r="A32" s="279">
        <v>1987</v>
      </c>
      <c r="B32" s="340">
        <v>101.12</v>
      </c>
      <c r="C32" s="341">
        <v>135.91</v>
      </c>
      <c r="D32" s="340">
        <v>72.069999999999993</v>
      </c>
      <c r="E32" s="341">
        <v>42.71</v>
      </c>
      <c r="F32" s="340">
        <v>26.45</v>
      </c>
      <c r="G32" s="341">
        <v>17.66</v>
      </c>
      <c r="H32" s="340">
        <v>5.8</v>
      </c>
      <c r="I32" s="341">
        <v>6.84</v>
      </c>
      <c r="J32" s="340">
        <v>17.55</v>
      </c>
      <c r="K32" s="341">
        <v>49.08</v>
      </c>
      <c r="L32" s="340">
        <v>165.34</v>
      </c>
      <c r="M32" s="341">
        <v>107.76</v>
      </c>
      <c r="N32" s="278">
        <v>1987</v>
      </c>
      <c r="O32" s="141">
        <v>3.0766342692012221</v>
      </c>
      <c r="P32" s="141">
        <v>3.0682712801677652</v>
      </c>
      <c r="Q32" s="141">
        <v>3.8651304223819669</v>
      </c>
      <c r="R32" s="141">
        <v>4.8088193162903066</v>
      </c>
      <c r="S32" s="141">
        <v>5.7656420896658096</v>
      </c>
      <c r="T32" s="141">
        <v>4.2093587899409188</v>
      </c>
      <c r="U32" s="141">
        <v>3.5190585443116471</v>
      </c>
      <c r="V32" s="141">
        <v>3.3084461285351678</v>
      </c>
      <c r="W32" s="141">
        <v>3.450832566790659</v>
      </c>
      <c r="X32" s="141">
        <v>3.5604824505589252</v>
      </c>
      <c r="Y32" s="141">
        <v>3.2207444733247539</v>
      </c>
      <c r="Z32" s="141">
        <v>3.5144989058530758</v>
      </c>
      <c r="AA32" s="243" t="s">
        <v>598</v>
      </c>
      <c r="AB32" s="243" t="s">
        <v>198</v>
      </c>
      <c r="AC32" s="243">
        <v>1.1499999999999999</v>
      </c>
      <c r="AD32" s="342">
        <v>10000</v>
      </c>
      <c r="AE32" s="243">
        <v>1.5</v>
      </c>
      <c r="AF32" s="280">
        <v>0.55000000000000004</v>
      </c>
      <c r="AI32" s="50" t="s">
        <v>15</v>
      </c>
      <c r="AJ32" s="271" t="s">
        <v>599</v>
      </c>
      <c r="AK32" s="337" t="s">
        <v>198</v>
      </c>
      <c r="AL32" s="129">
        <v>0</v>
      </c>
      <c r="AM32" s="129">
        <v>0</v>
      </c>
      <c r="AN32" s="129">
        <v>0</v>
      </c>
      <c r="AO32" s="129">
        <v>0</v>
      </c>
      <c r="AP32" s="129">
        <v>0</v>
      </c>
      <c r="AQ32" s="129">
        <v>0</v>
      </c>
      <c r="AR32" s="129">
        <v>0</v>
      </c>
      <c r="AS32" s="129">
        <v>0</v>
      </c>
      <c r="AT32" s="129">
        <v>0</v>
      </c>
      <c r="AU32" s="129">
        <v>0</v>
      </c>
      <c r="AV32" s="129">
        <v>0</v>
      </c>
      <c r="AW32" s="129">
        <v>0</v>
      </c>
    </row>
    <row r="33" spans="1:49" ht="14.4" x14ac:dyDescent="0.3">
      <c r="A33" s="279">
        <v>1988</v>
      </c>
      <c r="B33" s="340">
        <v>85.85</v>
      </c>
      <c r="C33" s="341">
        <v>60.07</v>
      </c>
      <c r="D33" s="340">
        <v>83.94</v>
      </c>
      <c r="E33" s="341">
        <v>72.98</v>
      </c>
      <c r="F33" s="340">
        <v>39.369999999999997</v>
      </c>
      <c r="G33" s="341">
        <v>31.84</v>
      </c>
      <c r="H33" s="340">
        <v>2.69</v>
      </c>
      <c r="I33" s="341">
        <v>3.34</v>
      </c>
      <c r="J33" s="340">
        <v>30.13</v>
      </c>
      <c r="K33" s="341">
        <v>39.72</v>
      </c>
      <c r="L33" s="340">
        <v>122.19</v>
      </c>
      <c r="M33" s="341">
        <v>234.2</v>
      </c>
      <c r="N33" s="278">
        <v>1988</v>
      </c>
      <c r="O33" s="141">
        <v>3.5959877465013168</v>
      </c>
      <c r="P33" s="141">
        <v>3.8780402420820139</v>
      </c>
      <c r="Q33" s="141">
        <v>4.3018294543180939</v>
      </c>
      <c r="R33" s="141">
        <v>4.7041712542678198</v>
      </c>
      <c r="S33" s="141">
        <v>4.075626820446816</v>
      </c>
      <c r="T33" s="141">
        <v>4.4418137038865906</v>
      </c>
      <c r="U33" s="141">
        <v>3.7653094585126858</v>
      </c>
      <c r="V33" s="141">
        <v>3.449601001006446</v>
      </c>
      <c r="W33" s="141">
        <v>3.8414325436753649</v>
      </c>
      <c r="X33" s="141">
        <v>4.1090917622935974</v>
      </c>
      <c r="Y33" s="141">
        <v>3.0035712606275511</v>
      </c>
      <c r="Z33" s="141">
        <v>3.2014076304810759</v>
      </c>
      <c r="AA33" s="243" t="s">
        <v>598</v>
      </c>
      <c r="AB33" s="243" t="s">
        <v>190</v>
      </c>
      <c r="AC33" s="243">
        <v>1.1499999999999999</v>
      </c>
      <c r="AD33" s="342">
        <v>12500</v>
      </c>
      <c r="AE33" s="243">
        <v>1.5</v>
      </c>
      <c r="AF33" s="280">
        <v>0.55000000000000004</v>
      </c>
      <c r="AI33" s="50" t="s">
        <v>15</v>
      </c>
      <c r="AJ33" s="271" t="s">
        <v>599</v>
      </c>
      <c r="AK33" s="337" t="s">
        <v>190</v>
      </c>
      <c r="AL33" s="129">
        <v>0</v>
      </c>
      <c r="AM33" s="129">
        <v>0</v>
      </c>
      <c r="AN33" s="129">
        <v>0</v>
      </c>
      <c r="AO33" s="129">
        <v>0</v>
      </c>
      <c r="AP33" s="129">
        <v>0</v>
      </c>
      <c r="AQ33" s="129">
        <v>0</v>
      </c>
      <c r="AR33" s="129">
        <v>0</v>
      </c>
      <c r="AS33" s="129">
        <v>0</v>
      </c>
      <c r="AT33" s="129">
        <v>0</v>
      </c>
      <c r="AU33" s="129">
        <v>0</v>
      </c>
      <c r="AV33" s="129">
        <v>0</v>
      </c>
      <c r="AW33" s="129">
        <v>0</v>
      </c>
    </row>
    <row r="34" spans="1:49" ht="14.4" x14ac:dyDescent="0.3">
      <c r="A34" s="279">
        <v>1989</v>
      </c>
      <c r="B34" s="340">
        <v>114.4</v>
      </c>
      <c r="C34" s="341">
        <v>49.94</v>
      </c>
      <c r="D34" s="340">
        <v>51.68</v>
      </c>
      <c r="E34" s="341">
        <v>131.87</v>
      </c>
      <c r="F34" s="340">
        <v>21.45</v>
      </c>
      <c r="G34" s="341">
        <v>26</v>
      </c>
      <c r="H34" s="340">
        <v>3.81</v>
      </c>
      <c r="I34" s="341">
        <v>12.74</v>
      </c>
      <c r="J34" s="340">
        <v>50.68</v>
      </c>
      <c r="K34" s="341">
        <v>50.63</v>
      </c>
      <c r="L34" s="340">
        <v>85.51</v>
      </c>
      <c r="M34" s="341">
        <v>73.37</v>
      </c>
      <c r="N34" s="278">
        <v>1989</v>
      </c>
      <c r="O34" s="141">
        <v>2.995426116258785</v>
      </c>
      <c r="P34" s="141">
        <v>3.4095403060047822</v>
      </c>
      <c r="Q34" s="141">
        <v>4.2619894183328304</v>
      </c>
      <c r="R34" s="141">
        <v>4.3311049374548274</v>
      </c>
      <c r="S34" s="141">
        <v>4.6799066217723011</v>
      </c>
      <c r="T34" s="141">
        <v>4.6949433224416977</v>
      </c>
      <c r="U34" s="141">
        <v>4.251439024383771</v>
      </c>
      <c r="V34" s="141">
        <v>3.5201474952193399</v>
      </c>
      <c r="W34" s="141">
        <v>3.8988882114965491</v>
      </c>
      <c r="X34" s="141">
        <v>4.3109297169622209</v>
      </c>
      <c r="Y34" s="141">
        <v>3.3102608049543192</v>
      </c>
      <c r="Z34" s="141">
        <v>3.0419115512829822</v>
      </c>
      <c r="AA34" s="243" t="s">
        <v>584</v>
      </c>
      <c r="AB34" s="244" t="s">
        <v>206</v>
      </c>
      <c r="AC34" s="243">
        <v>0.7</v>
      </c>
      <c r="AD34" s="243">
        <v>90000</v>
      </c>
      <c r="AE34" s="243">
        <v>1.5</v>
      </c>
      <c r="AF34" s="280">
        <v>0.5</v>
      </c>
      <c r="AI34" s="50" t="s">
        <v>15</v>
      </c>
      <c r="AJ34" s="271" t="s">
        <v>600</v>
      </c>
      <c r="AK34" s="337" t="s">
        <v>206</v>
      </c>
      <c r="AL34" s="129">
        <v>0</v>
      </c>
      <c r="AM34" s="129">
        <v>0</v>
      </c>
      <c r="AN34" s="129">
        <v>0</v>
      </c>
      <c r="AO34" s="129">
        <v>0</v>
      </c>
      <c r="AP34" s="129">
        <v>0</v>
      </c>
      <c r="AQ34" s="129">
        <v>0</v>
      </c>
      <c r="AR34" s="129">
        <v>0</v>
      </c>
      <c r="AS34" s="129">
        <v>0</v>
      </c>
      <c r="AT34" s="129">
        <v>0</v>
      </c>
      <c r="AU34" s="129">
        <v>0</v>
      </c>
      <c r="AV34" s="129">
        <v>0</v>
      </c>
      <c r="AW34" s="129">
        <v>0</v>
      </c>
    </row>
    <row r="35" spans="1:49" ht="14.4" x14ac:dyDescent="0.3">
      <c r="A35" s="279">
        <v>1990</v>
      </c>
      <c r="B35" s="340">
        <v>162.27000000000001</v>
      </c>
      <c r="C35" s="341">
        <v>17.989999999999998</v>
      </c>
      <c r="D35" s="340">
        <v>117.93</v>
      </c>
      <c r="E35" s="341">
        <v>66.97</v>
      </c>
      <c r="F35" s="340">
        <v>47.56</v>
      </c>
      <c r="G35" s="341">
        <v>18.52</v>
      </c>
      <c r="H35" s="340">
        <v>5.01</v>
      </c>
      <c r="I35" s="341">
        <v>4.17</v>
      </c>
      <c r="J35" s="340">
        <v>26.91</v>
      </c>
      <c r="K35" s="341">
        <v>53.87</v>
      </c>
      <c r="L35" s="340">
        <v>99.97</v>
      </c>
      <c r="M35" s="341">
        <v>173.4</v>
      </c>
      <c r="N35" s="278">
        <v>1990</v>
      </c>
      <c r="O35" s="141">
        <v>2.5179810529433042</v>
      </c>
      <c r="P35" s="141">
        <v>3.046312586221692</v>
      </c>
      <c r="Q35" s="141">
        <v>4.2547530631414059</v>
      </c>
      <c r="R35" s="141">
        <v>4.7110582646174297</v>
      </c>
      <c r="S35" s="141">
        <v>5.4727120750371139</v>
      </c>
      <c r="T35" s="141">
        <v>5.3421731594938739</v>
      </c>
      <c r="U35" s="141">
        <v>3.8734647283592798</v>
      </c>
      <c r="V35" s="141">
        <v>3.1806681862025821</v>
      </c>
      <c r="W35" s="141">
        <v>4.0064622792474092</v>
      </c>
      <c r="X35" s="141">
        <v>3.926798413115475</v>
      </c>
      <c r="Y35" s="141">
        <v>3.533311966259792</v>
      </c>
      <c r="Z35" s="141">
        <v>3.421723627107069</v>
      </c>
      <c r="AA35" s="243" t="s">
        <v>584</v>
      </c>
      <c r="AB35" s="244" t="s">
        <v>198</v>
      </c>
      <c r="AC35" s="243">
        <v>0.7</v>
      </c>
      <c r="AD35" s="243">
        <v>90000</v>
      </c>
      <c r="AE35" s="243">
        <v>1.5</v>
      </c>
      <c r="AF35" s="280">
        <v>0.5</v>
      </c>
      <c r="AI35" s="50" t="s">
        <v>15</v>
      </c>
      <c r="AJ35" s="271" t="s">
        <v>600</v>
      </c>
      <c r="AK35" s="337" t="s">
        <v>198</v>
      </c>
      <c r="AL35" s="129">
        <v>0</v>
      </c>
      <c r="AM35" s="129">
        <v>0</v>
      </c>
      <c r="AN35" s="129">
        <v>0</v>
      </c>
      <c r="AO35" s="129">
        <v>0</v>
      </c>
      <c r="AP35" s="129">
        <v>0</v>
      </c>
      <c r="AQ35" s="129">
        <v>0</v>
      </c>
      <c r="AR35" s="129">
        <v>0</v>
      </c>
      <c r="AS35" s="129">
        <v>0</v>
      </c>
      <c r="AT35" s="129">
        <v>0</v>
      </c>
      <c r="AU35" s="129">
        <v>0</v>
      </c>
      <c r="AV35" s="129">
        <v>0</v>
      </c>
      <c r="AW35" s="129">
        <v>0</v>
      </c>
    </row>
    <row r="36" spans="1:49" ht="14.4" x14ac:dyDescent="0.3">
      <c r="A36" s="279">
        <v>1991</v>
      </c>
      <c r="B36" s="340">
        <v>107.45</v>
      </c>
      <c r="C36" s="341">
        <v>121.33</v>
      </c>
      <c r="D36" s="340">
        <v>157.54</v>
      </c>
      <c r="E36" s="341">
        <v>53.62</v>
      </c>
      <c r="F36" s="340">
        <v>32.950000000000003</v>
      </c>
      <c r="G36" s="341">
        <v>13.85</v>
      </c>
      <c r="H36" s="340">
        <v>3.56</v>
      </c>
      <c r="I36" s="341">
        <v>6.8</v>
      </c>
      <c r="J36" s="340">
        <v>56.08</v>
      </c>
      <c r="K36" s="341">
        <v>163.15</v>
      </c>
      <c r="L36" s="340">
        <v>57.08</v>
      </c>
      <c r="M36" s="341">
        <v>66.7</v>
      </c>
      <c r="N36" s="278">
        <v>1991</v>
      </c>
      <c r="O36" s="141">
        <v>3.408731920533794</v>
      </c>
      <c r="P36" s="141">
        <v>4.0163085677043791</v>
      </c>
      <c r="Q36" s="141">
        <v>3.8656762697252032</v>
      </c>
      <c r="R36" s="141">
        <v>4.7439386868619362</v>
      </c>
      <c r="S36" s="141">
        <v>4.8273566434155546</v>
      </c>
      <c r="T36" s="141">
        <v>4.7202665111617241</v>
      </c>
      <c r="U36" s="141">
        <v>3.5708005529317188</v>
      </c>
      <c r="V36" s="141">
        <v>3.7854329698702238</v>
      </c>
      <c r="W36" s="141">
        <v>3.751551197870453</v>
      </c>
      <c r="X36" s="141">
        <v>3.7602932632898418</v>
      </c>
      <c r="Y36" s="141">
        <v>3.3092932496792411</v>
      </c>
      <c r="Z36" s="141">
        <v>3.237780090946218</v>
      </c>
      <c r="AA36" s="243" t="s">
        <v>584</v>
      </c>
      <c r="AB36" s="244" t="s">
        <v>190</v>
      </c>
      <c r="AC36" s="243">
        <v>0.7</v>
      </c>
      <c r="AD36" s="243">
        <v>90000</v>
      </c>
      <c r="AE36" s="243">
        <v>1.5</v>
      </c>
      <c r="AF36" s="280">
        <v>0.5</v>
      </c>
      <c r="AI36" s="50" t="s">
        <v>15</v>
      </c>
      <c r="AJ36" s="271" t="s">
        <v>600</v>
      </c>
      <c r="AK36" s="337" t="s">
        <v>190</v>
      </c>
      <c r="AL36" s="129">
        <v>0</v>
      </c>
      <c r="AM36" s="129">
        <v>0</v>
      </c>
      <c r="AN36" s="129">
        <v>0</v>
      </c>
      <c r="AO36" s="129">
        <v>0</v>
      </c>
      <c r="AP36" s="129">
        <v>0</v>
      </c>
      <c r="AQ36" s="129">
        <v>0</v>
      </c>
      <c r="AR36" s="129">
        <v>0</v>
      </c>
      <c r="AS36" s="129">
        <v>0</v>
      </c>
      <c r="AT36" s="129">
        <v>0</v>
      </c>
      <c r="AU36" s="129">
        <v>0</v>
      </c>
      <c r="AV36" s="129">
        <v>0</v>
      </c>
      <c r="AW36" s="129">
        <v>0</v>
      </c>
    </row>
    <row r="37" spans="1:49" ht="14.4" x14ac:dyDescent="0.3">
      <c r="A37" s="279">
        <v>1992</v>
      </c>
      <c r="B37" s="340">
        <v>164.21</v>
      </c>
      <c r="C37" s="341">
        <v>70.52</v>
      </c>
      <c r="D37" s="340">
        <v>145.15</v>
      </c>
      <c r="E37" s="341">
        <v>99.97</v>
      </c>
      <c r="F37" s="340">
        <v>53.19</v>
      </c>
      <c r="G37" s="341">
        <v>26.43</v>
      </c>
      <c r="H37" s="340">
        <v>6.24</v>
      </c>
      <c r="I37" s="341">
        <v>3.08</v>
      </c>
      <c r="J37" s="340">
        <v>13.5</v>
      </c>
      <c r="K37" s="341">
        <v>37.44</v>
      </c>
      <c r="L37" s="340">
        <v>94.81</v>
      </c>
      <c r="M37" s="341">
        <v>265.62</v>
      </c>
      <c r="N37" s="278">
        <v>1992</v>
      </c>
      <c r="O37" s="141">
        <v>3.497036315537875</v>
      </c>
      <c r="P37" s="141">
        <v>3.5308246282096492</v>
      </c>
      <c r="Q37" s="141">
        <v>3.8825225490001181</v>
      </c>
      <c r="R37" s="141">
        <v>4.240865551933763</v>
      </c>
      <c r="S37" s="141">
        <v>4.4083235070007909</v>
      </c>
      <c r="T37" s="141">
        <v>4.5560548899874336</v>
      </c>
      <c r="U37" s="141">
        <v>3.4959784694970621</v>
      </c>
      <c r="V37" s="141">
        <v>3.2912561099101292</v>
      </c>
      <c r="W37" s="141">
        <v>3.2885270357428888</v>
      </c>
      <c r="X37" s="141">
        <v>3.9457234869139159</v>
      </c>
      <c r="Y37" s="141">
        <v>3.5814565698343932</v>
      </c>
      <c r="Z37" s="141">
        <v>3.533840086602094</v>
      </c>
      <c r="AA37" s="243" t="s">
        <v>599</v>
      </c>
      <c r="AB37" s="244" t="s">
        <v>206</v>
      </c>
      <c r="AC37" s="243">
        <v>1</v>
      </c>
      <c r="AD37" s="243">
        <v>50000</v>
      </c>
      <c r="AE37" s="243">
        <v>0.3</v>
      </c>
      <c r="AF37" s="280">
        <v>0.5</v>
      </c>
      <c r="AI37" s="50" t="s">
        <v>15</v>
      </c>
      <c r="AJ37" s="271" t="s">
        <v>601</v>
      </c>
      <c r="AK37" s="337" t="s">
        <v>206</v>
      </c>
      <c r="AL37" s="129">
        <v>0</v>
      </c>
      <c r="AM37" s="129">
        <v>0</v>
      </c>
      <c r="AN37" s="129">
        <v>0</v>
      </c>
      <c r="AO37" s="129">
        <v>0</v>
      </c>
      <c r="AP37" s="129">
        <v>0</v>
      </c>
      <c r="AQ37" s="129">
        <v>0</v>
      </c>
      <c r="AR37" s="129">
        <v>0</v>
      </c>
      <c r="AS37" s="129">
        <v>0</v>
      </c>
      <c r="AT37" s="129">
        <v>0</v>
      </c>
      <c r="AU37" s="129">
        <v>0</v>
      </c>
      <c r="AV37" s="129">
        <v>0</v>
      </c>
      <c r="AW37" s="129">
        <v>0</v>
      </c>
    </row>
    <row r="38" spans="1:49" ht="14.4" x14ac:dyDescent="0.3">
      <c r="A38" s="279">
        <v>1993</v>
      </c>
      <c r="B38" s="340">
        <v>102.54</v>
      </c>
      <c r="C38" s="341">
        <v>85.17</v>
      </c>
      <c r="D38" s="340">
        <v>68.44</v>
      </c>
      <c r="E38" s="341">
        <v>61.83</v>
      </c>
      <c r="F38" s="340">
        <v>36.93</v>
      </c>
      <c r="G38" s="341">
        <v>11.6</v>
      </c>
      <c r="H38" s="340">
        <v>2.86</v>
      </c>
      <c r="I38" s="341">
        <v>3.89</v>
      </c>
      <c r="J38" s="340">
        <v>47.09</v>
      </c>
      <c r="K38" s="341">
        <v>38.5</v>
      </c>
      <c r="L38" s="340">
        <v>97.42</v>
      </c>
      <c r="M38" s="341">
        <v>128.72999999999999</v>
      </c>
      <c r="N38" s="278">
        <v>1993</v>
      </c>
      <c r="O38" s="141">
        <v>3.7493583693480761</v>
      </c>
      <c r="P38" s="141">
        <v>3.7207913868919489</v>
      </c>
      <c r="Q38" s="141">
        <v>4.1504665934285363</v>
      </c>
      <c r="R38" s="141">
        <v>4.0212360662504381</v>
      </c>
      <c r="S38" s="141">
        <v>4.927798062991962</v>
      </c>
      <c r="T38" s="141">
        <v>4.714023822412142</v>
      </c>
      <c r="U38" s="141">
        <v>3.7377584237891668</v>
      </c>
      <c r="V38" s="141">
        <v>3.0813031087026181</v>
      </c>
      <c r="W38" s="141">
        <v>3.6933411670534269</v>
      </c>
      <c r="X38" s="141">
        <v>3.936507879217952</v>
      </c>
      <c r="Y38" s="141">
        <v>3.661166214972988</v>
      </c>
      <c r="Z38" s="141">
        <v>3.5766153466617641</v>
      </c>
      <c r="AA38" s="243" t="s">
        <v>599</v>
      </c>
      <c r="AB38" s="244" t="s">
        <v>198</v>
      </c>
      <c r="AC38" s="243">
        <v>1</v>
      </c>
      <c r="AD38" s="243">
        <v>50000</v>
      </c>
      <c r="AE38" s="243">
        <v>0.3</v>
      </c>
      <c r="AF38" s="280">
        <v>0.5</v>
      </c>
      <c r="AI38" s="50" t="s">
        <v>15</v>
      </c>
      <c r="AJ38" s="271" t="s">
        <v>601</v>
      </c>
      <c r="AK38" s="337" t="s">
        <v>198</v>
      </c>
      <c r="AL38" s="129">
        <v>0</v>
      </c>
      <c r="AM38" s="129">
        <v>0</v>
      </c>
      <c r="AN38" s="129">
        <v>0</v>
      </c>
      <c r="AO38" s="129">
        <v>0</v>
      </c>
      <c r="AP38" s="129">
        <v>0</v>
      </c>
      <c r="AQ38" s="129">
        <v>0</v>
      </c>
      <c r="AR38" s="129">
        <v>0</v>
      </c>
      <c r="AS38" s="129">
        <v>0</v>
      </c>
      <c r="AT38" s="129">
        <v>0</v>
      </c>
      <c r="AU38" s="129">
        <v>0</v>
      </c>
      <c r="AV38" s="129">
        <v>0</v>
      </c>
      <c r="AW38" s="129">
        <v>0</v>
      </c>
    </row>
    <row r="39" spans="1:49" ht="14.4" x14ac:dyDescent="0.3">
      <c r="A39" s="279">
        <v>1994</v>
      </c>
      <c r="B39" s="340">
        <v>130.22</v>
      </c>
      <c r="C39" s="341">
        <v>101.82</v>
      </c>
      <c r="D39" s="340">
        <v>32.020000000000003</v>
      </c>
      <c r="E39" s="341">
        <v>52.72</v>
      </c>
      <c r="F39" s="340">
        <v>15.35</v>
      </c>
      <c r="G39" s="341">
        <v>8.4700000000000006</v>
      </c>
      <c r="H39" s="340">
        <v>2.46</v>
      </c>
      <c r="I39" s="341">
        <v>5.38</v>
      </c>
      <c r="J39" s="340">
        <v>96.92</v>
      </c>
      <c r="K39" s="341">
        <v>88.25</v>
      </c>
      <c r="L39" s="340">
        <v>37.96</v>
      </c>
      <c r="M39" s="341">
        <v>132.69999999999999</v>
      </c>
      <c r="N39" s="278">
        <v>1994</v>
      </c>
      <c r="O39" s="141">
        <v>3.3788980775159039</v>
      </c>
      <c r="P39" s="141">
        <v>3.7676058122599341</v>
      </c>
      <c r="Q39" s="141">
        <v>4.3461815714173184</v>
      </c>
      <c r="R39" s="141">
        <v>4.7367015191565258</v>
      </c>
      <c r="S39" s="141">
        <v>5.3490775029207596</v>
      </c>
      <c r="T39" s="141">
        <v>4.7873644166873772</v>
      </c>
      <c r="U39" s="141">
        <v>3.3291242589066781</v>
      </c>
      <c r="V39" s="141">
        <v>3.4872600100079678</v>
      </c>
      <c r="W39" s="141">
        <v>3.768370158022091</v>
      </c>
      <c r="X39" s="141">
        <v>4.2129632705186157</v>
      </c>
      <c r="Y39" s="141">
        <v>3.8515945324040919</v>
      </c>
      <c r="Z39" s="141">
        <v>3.4059975787352048</v>
      </c>
      <c r="AA39" s="243" t="s">
        <v>599</v>
      </c>
      <c r="AB39" s="244" t="s">
        <v>190</v>
      </c>
      <c r="AC39" s="243">
        <v>1</v>
      </c>
      <c r="AD39" s="243">
        <v>50000</v>
      </c>
      <c r="AE39" s="243">
        <v>0.3</v>
      </c>
      <c r="AF39" s="280">
        <v>0.5</v>
      </c>
      <c r="AI39" s="50" t="s">
        <v>15</v>
      </c>
      <c r="AJ39" s="271" t="s">
        <v>601</v>
      </c>
      <c r="AK39" s="337" t="s">
        <v>190</v>
      </c>
      <c r="AL39" s="129">
        <v>0</v>
      </c>
      <c r="AM39" s="129">
        <v>0</v>
      </c>
      <c r="AN39" s="129">
        <v>0</v>
      </c>
      <c r="AO39" s="129">
        <v>0</v>
      </c>
      <c r="AP39" s="129">
        <v>0</v>
      </c>
      <c r="AQ39" s="129">
        <v>0</v>
      </c>
      <c r="AR39" s="129">
        <v>0</v>
      </c>
      <c r="AS39" s="129">
        <v>0</v>
      </c>
      <c r="AT39" s="129">
        <v>0</v>
      </c>
      <c r="AU39" s="129">
        <v>0</v>
      </c>
      <c r="AV39" s="129">
        <v>0</v>
      </c>
      <c r="AW39" s="129">
        <v>0</v>
      </c>
    </row>
    <row r="40" spans="1:49" ht="14.4" x14ac:dyDescent="0.3">
      <c r="A40" s="279">
        <v>1995</v>
      </c>
      <c r="B40" s="340">
        <v>289.66000000000003</v>
      </c>
      <c r="C40" s="341">
        <v>46.31</v>
      </c>
      <c r="D40" s="340">
        <v>146.66</v>
      </c>
      <c r="E40" s="341">
        <v>55.1</v>
      </c>
      <c r="F40" s="340">
        <v>15.72</v>
      </c>
      <c r="G40" s="341">
        <v>27.44</v>
      </c>
      <c r="H40" s="340">
        <v>2.35</v>
      </c>
      <c r="I40" s="341">
        <v>10.54</v>
      </c>
      <c r="J40" s="340">
        <v>38.369999999999997</v>
      </c>
      <c r="K40" s="341">
        <v>28.93</v>
      </c>
      <c r="L40" s="340">
        <v>89.66</v>
      </c>
      <c r="M40" s="341">
        <v>129.85</v>
      </c>
      <c r="N40" s="278">
        <v>1995</v>
      </c>
      <c r="O40" s="141">
        <v>3.421166992404495</v>
      </c>
      <c r="P40" s="141">
        <v>3.2339893071546841</v>
      </c>
      <c r="Q40" s="141">
        <v>4.2753584520587982</v>
      </c>
      <c r="R40" s="141">
        <v>4.6552574689690438</v>
      </c>
      <c r="S40" s="141">
        <v>5.1230715187957188</v>
      </c>
      <c r="T40" s="141">
        <v>5.1284987256393553</v>
      </c>
      <c r="U40" s="141">
        <v>3.8212690849731712</v>
      </c>
      <c r="V40" s="141">
        <v>3.951372532582488</v>
      </c>
      <c r="W40" s="141">
        <v>3.495803973797412</v>
      </c>
      <c r="X40" s="141">
        <v>4.225215057876194</v>
      </c>
      <c r="Y40" s="141">
        <v>3.6788006701252538</v>
      </c>
      <c r="Z40" s="141">
        <v>3.0486898715887731</v>
      </c>
      <c r="AA40" s="243" t="s">
        <v>600</v>
      </c>
      <c r="AB40" s="243" t="s">
        <v>206</v>
      </c>
      <c r="AC40" s="243">
        <v>1.1499999999999999</v>
      </c>
      <c r="AD40" s="243">
        <v>18000</v>
      </c>
      <c r="AE40" s="243">
        <v>0.6</v>
      </c>
      <c r="AF40" s="280">
        <v>0.5</v>
      </c>
      <c r="AI40" s="50" t="s">
        <v>15</v>
      </c>
      <c r="AJ40" s="271" t="s">
        <v>602</v>
      </c>
      <c r="AK40" s="337" t="s">
        <v>206</v>
      </c>
      <c r="AL40" s="129">
        <v>0</v>
      </c>
      <c r="AM40" s="129">
        <v>0</v>
      </c>
      <c r="AN40" s="129">
        <v>0</v>
      </c>
      <c r="AO40" s="129">
        <v>0</v>
      </c>
      <c r="AP40" s="129">
        <v>0</v>
      </c>
      <c r="AQ40" s="129">
        <v>0</v>
      </c>
      <c r="AR40" s="129">
        <v>0</v>
      </c>
      <c r="AS40" s="129">
        <v>0</v>
      </c>
      <c r="AT40" s="129">
        <v>0</v>
      </c>
      <c r="AU40" s="129">
        <v>0</v>
      </c>
      <c r="AV40" s="129">
        <v>0</v>
      </c>
      <c r="AW40" s="129">
        <v>0</v>
      </c>
    </row>
    <row r="41" spans="1:49" ht="14.4" x14ac:dyDescent="0.3">
      <c r="A41" s="279">
        <v>1996</v>
      </c>
      <c r="B41" s="340">
        <v>131.99</v>
      </c>
      <c r="C41" s="341">
        <v>101.53</v>
      </c>
      <c r="D41" s="340">
        <v>84.23</v>
      </c>
      <c r="E41" s="341">
        <v>64.34</v>
      </c>
      <c r="F41" s="340">
        <v>26.68</v>
      </c>
      <c r="G41" s="341">
        <v>20.5</v>
      </c>
      <c r="H41" s="340">
        <v>3.68</v>
      </c>
      <c r="I41" s="341">
        <v>20.64</v>
      </c>
      <c r="J41" s="340">
        <v>42.76</v>
      </c>
      <c r="K41" s="341">
        <v>45.91</v>
      </c>
      <c r="L41" s="340">
        <v>59.21</v>
      </c>
      <c r="M41" s="341">
        <v>196.34</v>
      </c>
      <c r="N41" s="278">
        <v>1996</v>
      </c>
      <c r="O41" s="141">
        <v>3.070079880341666</v>
      </c>
      <c r="P41" s="141">
        <v>3.276039101680146</v>
      </c>
      <c r="Q41" s="141">
        <v>3.9309465537747101</v>
      </c>
      <c r="R41" s="141">
        <v>5.2009107229693772</v>
      </c>
      <c r="S41" s="141">
        <v>4.6921452884207344</v>
      </c>
      <c r="T41" s="141">
        <v>4.5652642392705474</v>
      </c>
      <c r="U41" s="141">
        <v>3.5269124345536982</v>
      </c>
      <c r="V41" s="141">
        <v>3.545297862520453</v>
      </c>
      <c r="W41" s="141">
        <v>4.0786266894035306</v>
      </c>
      <c r="X41" s="141">
        <v>4.0458015478853282</v>
      </c>
      <c r="Y41" s="141">
        <v>3.7884501920609841</v>
      </c>
      <c r="Z41" s="141">
        <v>3.5169179635091958</v>
      </c>
      <c r="AA41" s="243" t="s">
        <v>600</v>
      </c>
      <c r="AB41" s="243" t="s">
        <v>198</v>
      </c>
      <c r="AC41" s="243">
        <v>1.1499999999999999</v>
      </c>
      <c r="AD41" s="243">
        <v>18000</v>
      </c>
      <c r="AE41" s="243">
        <v>0.6</v>
      </c>
      <c r="AF41" s="280">
        <v>0.5</v>
      </c>
      <c r="AI41" s="50" t="s">
        <v>15</v>
      </c>
      <c r="AJ41" s="271" t="s">
        <v>602</v>
      </c>
      <c r="AK41" s="337" t="s">
        <v>198</v>
      </c>
      <c r="AL41" s="129">
        <v>0</v>
      </c>
      <c r="AM41" s="129">
        <v>0</v>
      </c>
      <c r="AN41" s="129">
        <v>0</v>
      </c>
      <c r="AO41" s="129">
        <v>0</v>
      </c>
      <c r="AP41" s="129">
        <v>0</v>
      </c>
      <c r="AQ41" s="129">
        <v>0</v>
      </c>
      <c r="AR41" s="129">
        <v>0</v>
      </c>
      <c r="AS41" s="129">
        <v>0</v>
      </c>
      <c r="AT41" s="129">
        <v>0</v>
      </c>
      <c r="AU41" s="129">
        <v>0</v>
      </c>
      <c r="AV41" s="129">
        <v>0</v>
      </c>
      <c r="AW41" s="129">
        <v>0</v>
      </c>
    </row>
    <row r="42" spans="1:49" ht="14.4" x14ac:dyDescent="0.3">
      <c r="A42" s="279">
        <v>1997</v>
      </c>
      <c r="B42" s="340">
        <v>108.97</v>
      </c>
      <c r="C42" s="341">
        <v>37.799999999999997</v>
      </c>
      <c r="D42" s="340">
        <v>40.99</v>
      </c>
      <c r="E42" s="341">
        <v>79.48</v>
      </c>
      <c r="F42" s="340">
        <v>27.97</v>
      </c>
      <c r="G42" s="341">
        <v>14.06</v>
      </c>
      <c r="H42" s="340">
        <v>3.26</v>
      </c>
      <c r="I42" s="341">
        <v>10.17</v>
      </c>
      <c r="J42" s="340">
        <v>66.010000000000005</v>
      </c>
      <c r="K42" s="341">
        <v>101.63</v>
      </c>
      <c r="L42" s="340">
        <v>124.34</v>
      </c>
      <c r="M42" s="341">
        <v>131.97999999999999</v>
      </c>
      <c r="N42" s="278">
        <v>1997</v>
      </c>
      <c r="O42" s="141">
        <v>3.6658572462607402</v>
      </c>
      <c r="P42" s="141">
        <v>3.4860035190246439</v>
      </c>
      <c r="Q42" s="141">
        <v>4.8814989211328053</v>
      </c>
      <c r="R42" s="141">
        <v>4.8589419956290412</v>
      </c>
      <c r="S42" s="141">
        <v>5.8071746611084549</v>
      </c>
      <c r="T42" s="141">
        <v>4.4862439341726752</v>
      </c>
      <c r="U42" s="141">
        <v>3.4209680813438141</v>
      </c>
      <c r="V42" s="141">
        <v>3.1464680697732001</v>
      </c>
      <c r="W42" s="141">
        <v>3.0806105199393681</v>
      </c>
      <c r="X42" s="141">
        <v>3.7604655413308188</v>
      </c>
      <c r="Y42" s="141">
        <v>3.5366610471111728</v>
      </c>
      <c r="Z42" s="141">
        <v>3.414216469201337</v>
      </c>
      <c r="AA42" s="243" t="s">
        <v>600</v>
      </c>
      <c r="AB42" s="243" t="s">
        <v>190</v>
      </c>
      <c r="AC42" s="243">
        <v>1.1499999999999999</v>
      </c>
      <c r="AD42" s="243">
        <v>18000</v>
      </c>
      <c r="AE42" s="243">
        <v>0.6</v>
      </c>
      <c r="AF42" s="280">
        <v>0.5</v>
      </c>
      <c r="AI42" s="50" t="s">
        <v>15</v>
      </c>
      <c r="AJ42" s="271" t="s">
        <v>602</v>
      </c>
      <c r="AK42" s="337" t="s">
        <v>190</v>
      </c>
      <c r="AL42" s="129">
        <v>0</v>
      </c>
      <c r="AM42" s="129">
        <v>0</v>
      </c>
      <c r="AN42" s="129">
        <v>0</v>
      </c>
      <c r="AO42" s="129">
        <v>0</v>
      </c>
      <c r="AP42" s="129">
        <v>0</v>
      </c>
      <c r="AQ42" s="129">
        <v>0</v>
      </c>
      <c r="AR42" s="129">
        <v>0</v>
      </c>
      <c r="AS42" s="129">
        <v>0</v>
      </c>
      <c r="AT42" s="129">
        <v>0</v>
      </c>
      <c r="AU42" s="129">
        <v>0</v>
      </c>
      <c r="AV42" s="129">
        <v>0</v>
      </c>
      <c r="AW42" s="129">
        <v>0</v>
      </c>
    </row>
    <row r="43" spans="1:49" ht="14.4" x14ac:dyDescent="0.3">
      <c r="A43" s="279">
        <v>1998</v>
      </c>
      <c r="B43" s="340">
        <v>66.14</v>
      </c>
      <c r="C43" s="341">
        <v>73.790000000000006</v>
      </c>
      <c r="D43" s="340">
        <v>57.61</v>
      </c>
      <c r="E43" s="341">
        <v>92.94</v>
      </c>
      <c r="F43" s="340">
        <v>123.15</v>
      </c>
      <c r="G43" s="341">
        <v>10.44</v>
      </c>
      <c r="H43" s="340">
        <v>2.37</v>
      </c>
      <c r="I43" s="341">
        <v>9.68</v>
      </c>
      <c r="J43" s="340">
        <v>54.01</v>
      </c>
      <c r="K43" s="341">
        <v>48.64</v>
      </c>
      <c r="L43" s="340">
        <v>121.36</v>
      </c>
      <c r="M43" s="341">
        <v>117.28</v>
      </c>
      <c r="N43" s="278">
        <v>1998</v>
      </c>
      <c r="O43" s="141">
        <v>3.445116541208082</v>
      </c>
      <c r="P43" s="141">
        <v>3.490311551556033</v>
      </c>
      <c r="Q43" s="141">
        <v>3.893498411131123</v>
      </c>
      <c r="R43" s="141">
        <v>4.4598255258668837</v>
      </c>
      <c r="S43" s="141">
        <v>4.8750614948093371</v>
      </c>
      <c r="T43" s="141">
        <v>4.2935723056838384</v>
      </c>
      <c r="U43" s="141">
        <v>3.669091626358143</v>
      </c>
      <c r="V43" s="141">
        <v>2.8676832615265462</v>
      </c>
      <c r="W43" s="141">
        <v>3.6575702756133102</v>
      </c>
      <c r="X43" s="141">
        <v>4.2535119302073516</v>
      </c>
      <c r="Y43" s="141">
        <v>3.172320374847545</v>
      </c>
      <c r="Z43" s="141">
        <v>3.5034246226231578</v>
      </c>
      <c r="AA43" s="243" t="s">
        <v>601</v>
      </c>
      <c r="AB43" s="244" t="s">
        <v>206</v>
      </c>
      <c r="AC43" s="243">
        <v>1.1200000000000001</v>
      </c>
      <c r="AD43" s="243">
        <v>75000</v>
      </c>
      <c r="AE43" s="243">
        <v>0.6</v>
      </c>
      <c r="AF43" s="280">
        <v>0.5</v>
      </c>
      <c r="AI43" s="50" t="s">
        <v>15</v>
      </c>
      <c r="AJ43" s="271" t="s">
        <v>603</v>
      </c>
      <c r="AK43" s="337" t="s">
        <v>206</v>
      </c>
      <c r="AL43" s="129">
        <v>0</v>
      </c>
      <c r="AM43" s="129">
        <v>0</v>
      </c>
      <c r="AN43" s="129">
        <v>0</v>
      </c>
      <c r="AO43" s="129">
        <v>0</v>
      </c>
      <c r="AP43" s="129">
        <v>0</v>
      </c>
      <c r="AQ43" s="129">
        <v>0</v>
      </c>
      <c r="AR43" s="129">
        <v>0</v>
      </c>
      <c r="AS43" s="129">
        <v>0</v>
      </c>
      <c r="AT43" s="129">
        <v>0</v>
      </c>
      <c r="AU43" s="129">
        <v>0</v>
      </c>
      <c r="AV43" s="129">
        <v>0</v>
      </c>
      <c r="AW43" s="129">
        <v>0</v>
      </c>
    </row>
    <row r="44" spans="1:49" ht="14.4" x14ac:dyDescent="0.3">
      <c r="A44" s="279">
        <v>1999</v>
      </c>
      <c r="B44" s="340">
        <v>172.13</v>
      </c>
      <c r="C44" s="341">
        <v>105.42</v>
      </c>
      <c r="D44" s="340">
        <v>99.11</v>
      </c>
      <c r="E44" s="341">
        <v>36.909999999999997</v>
      </c>
      <c r="F44" s="340">
        <v>30.99</v>
      </c>
      <c r="G44" s="341">
        <v>14.32</v>
      </c>
      <c r="H44" s="340">
        <v>2.4700000000000002</v>
      </c>
      <c r="I44" s="341">
        <v>5.81</v>
      </c>
      <c r="J44" s="340">
        <v>72.47</v>
      </c>
      <c r="K44" s="341">
        <v>33.74</v>
      </c>
      <c r="L44" s="340">
        <v>111.04</v>
      </c>
      <c r="M44" s="341">
        <v>192.14</v>
      </c>
      <c r="N44" s="278">
        <v>1999</v>
      </c>
      <c r="O44" s="141">
        <v>3.076799436446441</v>
      </c>
      <c r="P44" s="141">
        <v>3.7057616298896869</v>
      </c>
      <c r="Q44" s="141">
        <v>3.6852944496861788</v>
      </c>
      <c r="R44" s="141">
        <v>4.612602693279543</v>
      </c>
      <c r="S44" s="141">
        <v>5.5803845596609589</v>
      </c>
      <c r="T44" s="141">
        <v>4.6880105562220216</v>
      </c>
      <c r="U44" s="141">
        <v>3.1956716872762878</v>
      </c>
      <c r="V44" s="141">
        <v>2.895257083154565</v>
      </c>
      <c r="W44" s="141">
        <v>3.1901539884629448</v>
      </c>
      <c r="X44" s="141">
        <v>3.7851190598024149</v>
      </c>
      <c r="Y44" s="141">
        <v>4.001722202160507</v>
      </c>
      <c r="Z44" s="141">
        <v>3.46190800754741</v>
      </c>
      <c r="AA44" s="243" t="s">
        <v>601</v>
      </c>
      <c r="AB44" s="244" t="s">
        <v>198</v>
      </c>
      <c r="AC44" s="243">
        <v>1.1200000000000001</v>
      </c>
      <c r="AD44" s="243">
        <v>100000</v>
      </c>
      <c r="AE44" s="243">
        <v>0.6</v>
      </c>
      <c r="AF44" s="280">
        <v>0.5</v>
      </c>
      <c r="AI44" s="50" t="s">
        <v>15</v>
      </c>
      <c r="AJ44" s="271" t="s">
        <v>603</v>
      </c>
      <c r="AK44" s="337" t="s">
        <v>198</v>
      </c>
      <c r="AL44" s="129">
        <v>0</v>
      </c>
      <c r="AM44" s="129">
        <v>0</v>
      </c>
      <c r="AN44" s="129">
        <v>0</v>
      </c>
      <c r="AO44" s="129">
        <v>0</v>
      </c>
      <c r="AP44" s="129">
        <v>0</v>
      </c>
      <c r="AQ44" s="129">
        <v>0</v>
      </c>
      <c r="AR44" s="129">
        <v>0</v>
      </c>
      <c r="AS44" s="129">
        <v>0</v>
      </c>
      <c r="AT44" s="129">
        <v>0</v>
      </c>
      <c r="AU44" s="129">
        <v>0</v>
      </c>
      <c r="AV44" s="129">
        <v>0</v>
      </c>
      <c r="AW44" s="129">
        <v>0</v>
      </c>
    </row>
    <row r="45" spans="1:49" ht="14.4" x14ac:dyDescent="0.3">
      <c r="A45" s="279">
        <v>2000</v>
      </c>
      <c r="B45" s="340">
        <v>86.64</v>
      </c>
      <c r="C45" s="341">
        <v>33.85</v>
      </c>
      <c r="D45" s="340">
        <v>64.760000000000005</v>
      </c>
      <c r="E45" s="341">
        <v>46.79</v>
      </c>
      <c r="F45" s="340">
        <v>56.69</v>
      </c>
      <c r="G45" s="341">
        <v>11.67</v>
      </c>
      <c r="H45" s="340">
        <v>2.58</v>
      </c>
      <c r="I45" s="341">
        <v>3.73</v>
      </c>
      <c r="J45" s="340">
        <v>28.64</v>
      </c>
      <c r="K45" s="341">
        <v>60.76</v>
      </c>
      <c r="L45" s="340">
        <v>60.21</v>
      </c>
      <c r="M45" s="341">
        <v>129.34</v>
      </c>
      <c r="N45" s="278">
        <v>2000</v>
      </c>
      <c r="O45" s="141">
        <v>3.4563065904404948</v>
      </c>
      <c r="P45" s="141">
        <v>3.386324759735734</v>
      </c>
      <c r="Q45" s="141">
        <v>4.272281997014999</v>
      </c>
      <c r="R45" s="141">
        <v>4.311466685943528</v>
      </c>
      <c r="S45" s="141">
        <v>4.8158489307534316</v>
      </c>
      <c r="T45" s="141">
        <v>4.5895915517452401</v>
      </c>
      <c r="U45" s="141">
        <v>2.70933024967476</v>
      </c>
      <c r="V45" s="141">
        <v>3.0079301846881301</v>
      </c>
      <c r="W45" s="141">
        <v>3.8740210011700782</v>
      </c>
      <c r="X45" s="141">
        <v>4.0499551427227356</v>
      </c>
      <c r="Y45" s="141">
        <v>3.8023888755432198</v>
      </c>
      <c r="Z45" s="141">
        <v>3.429756367091219</v>
      </c>
      <c r="AA45" s="243" t="s">
        <v>601</v>
      </c>
      <c r="AB45" s="244" t="s">
        <v>190</v>
      </c>
      <c r="AC45" s="243">
        <v>1.1200000000000001</v>
      </c>
      <c r="AD45" s="243">
        <v>150000</v>
      </c>
      <c r="AE45" s="243">
        <v>0.6</v>
      </c>
      <c r="AF45" s="280">
        <v>0.5</v>
      </c>
      <c r="AI45" s="50" t="s">
        <v>15</v>
      </c>
      <c r="AJ45" s="271" t="s">
        <v>603</v>
      </c>
      <c r="AK45" s="337" t="s">
        <v>190</v>
      </c>
      <c r="AL45" s="129">
        <v>0</v>
      </c>
      <c r="AM45" s="129">
        <v>0</v>
      </c>
      <c r="AN45" s="129">
        <v>0</v>
      </c>
      <c r="AO45" s="129">
        <v>0</v>
      </c>
      <c r="AP45" s="129">
        <v>0</v>
      </c>
      <c r="AQ45" s="129">
        <v>0</v>
      </c>
      <c r="AR45" s="129">
        <v>0</v>
      </c>
      <c r="AS45" s="129">
        <v>0</v>
      </c>
      <c r="AT45" s="129">
        <v>0</v>
      </c>
      <c r="AU45" s="129">
        <v>0</v>
      </c>
      <c r="AV45" s="129">
        <v>0</v>
      </c>
      <c r="AW45" s="129">
        <v>0</v>
      </c>
    </row>
    <row r="46" spans="1:49" ht="14.4" x14ac:dyDescent="0.3">
      <c r="A46" s="279">
        <v>2001</v>
      </c>
      <c r="B46" s="340">
        <v>215.59</v>
      </c>
      <c r="C46" s="341">
        <v>75.7</v>
      </c>
      <c r="D46" s="340">
        <v>37.979999999999997</v>
      </c>
      <c r="E46" s="341">
        <v>52.75</v>
      </c>
      <c r="F46" s="340">
        <v>32.4</v>
      </c>
      <c r="G46" s="341">
        <v>7.08</v>
      </c>
      <c r="H46" s="340">
        <v>3.07</v>
      </c>
      <c r="I46" s="341">
        <v>6.18</v>
      </c>
      <c r="J46" s="340">
        <v>52.68</v>
      </c>
      <c r="K46" s="341">
        <v>22.19</v>
      </c>
      <c r="L46" s="340">
        <v>88.08</v>
      </c>
      <c r="M46" s="341">
        <v>79.84</v>
      </c>
      <c r="N46" s="278">
        <v>2001</v>
      </c>
      <c r="O46" s="141">
        <v>3.6921020092383712</v>
      </c>
      <c r="P46" s="141">
        <v>3.7950381313424528</v>
      </c>
      <c r="Q46" s="141">
        <v>4.2092978590046783</v>
      </c>
      <c r="R46" s="141">
        <v>4.6372575843515387</v>
      </c>
      <c r="S46" s="141">
        <v>4.620328507362272</v>
      </c>
      <c r="T46" s="141">
        <v>4.0704388505311977</v>
      </c>
      <c r="U46" s="141">
        <v>3.5964227413421752</v>
      </c>
      <c r="V46" s="141">
        <v>3.1989716543547169</v>
      </c>
      <c r="W46" s="141">
        <v>3.0353089079296001</v>
      </c>
      <c r="X46" s="141">
        <v>4.1874875330663102</v>
      </c>
      <c r="Y46" s="141">
        <v>3.599841272298844</v>
      </c>
      <c r="Z46" s="141">
        <v>3.3296056966949599</v>
      </c>
      <c r="AA46" s="243" t="s">
        <v>602</v>
      </c>
      <c r="AB46" s="244" t="s">
        <v>206</v>
      </c>
      <c r="AC46" s="243">
        <v>1.05</v>
      </c>
      <c r="AD46" s="243">
        <v>18000</v>
      </c>
      <c r="AE46" s="243">
        <v>1</v>
      </c>
      <c r="AF46" s="280">
        <v>0.5</v>
      </c>
      <c r="AI46" s="50" t="s">
        <v>15</v>
      </c>
      <c r="AJ46" s="271" t="s">
        <v>604</v>
      </c>
      <c r="AK46" s="337" t="s">
        <v>206</v>
      </c>
      <c r="AL46" s="129">
        <v>0</v>
      </c>
      <c r="AM46" s="129">
        <v>0</v>
      </c>
      <c r="AN46" s="129">
        <v>0</v>
      </c>
      <c r="AO46" s="129">
        <v>0</v>
      </c>
      <c r="AP46" s="129">
        <v>0</v>
      </c>
      <c r="AQ46" s="129">
        <v>0</v>
      </c>
      <c r="AR46" s="129">
        <v>0</v>
      </c>
      <c r="AS46" s="129">
        <v>0</v>
      </c>
      <c r="AT46" s="129">
        <v>0</v>
      </c>
      <c r="AU46" s="129">
        <v>0</v>
      </c>
      <c r="AV46" s="129">
        <v>0</v>
      </c>
      <c r="AW46" s="129">
        <v>0</v>
      </c>
    </row>
    <row r="47" spans="1:49" ht="14.4" x14ac:dyDescent="0.3">
      <c r="A47" s="279">
        <v>2002</v>
      </c>
      <c r="B47" s="340">
        <v>92.25</v>
      </c>
      <c r="C47" s="341">
        <v>69.41</v>
      </c>
      <c r="D47" s="340">
        <v>77.150000000000006</v>
      </c>
      <c r="E47" s="341">
        <v>39.44</v>
      </c>
      <c r="F47" s="340">
        <v>23.71</v>
      </c>
      <c r="G47" s="341">
        <v>9.1300000000000008</v>
      </c>
      <c r="H47" s="340">
        <v>4.43</v>
      </c>
      <c r="I47" s="341">
        <v>22.46</v>
      </c>
      <c r="J47" s="340">
        <v>33.76</v>
      </c>
      <c r="K47" s="341">
        <v>26.6</v>
      </c>
      <c r="L47" s="340">
        <v>228.95</v>
      </c>
      <c r="M47" s="341">
        <v>212.85</v>
      </c>
      <c r="N47" s="278">
        <v>2002</v>
      </c>
      <c r="O47" s="141">
        <v>2.9025509065175221</v>
      </c>
      <c r="P47" s="141">
        <v>4.062562252712695</v>
      </c>
      <c r="Q47" s="141">
        <v>4.5184089045577096</v>
      </c>
      <c r="R47" s="141">
        <v>3.8154295997581849</v>
      </c>
      <c r="S47" s="141">
        <v>4.6358423247548153</v>
      </c>
      <c r="T47" s="141">
        <v>4.805942306831593</v>
      </c>
      <c r="U47" s="141">
        <v>3.2003793825711151</v>
      </c>
      <c r="V47" s="141">
        <v>3.269475142779346</v>
      </c>
      <c r="W47" s="141">
        <v>3.8429128726423558</v>
      </c>
      <c r="X47" s="141">
        <v>4.0604249165061299</v>
      </c>
      <c r="Y47" s="141">
        <v>3.4782496410987598</v>
      </c>
      <c r="Z47" s="141">
        <v>3.4915760457410752</v>
      </c>
      <c r="AA47" s="243" t="s">
        <v>602</v>
      </c>
      <c r="AB47" s="244" t="s">
        <v>198</v>
      </c>
      <c r="AC47" s="243">
        <v>1.05</v>
      </c>
      <c r="AD47" s="243">
        <v>30000</v>
      </c>
      <c r="AE47" s="243">
        <v>1</v>
      </c>
      <c r="AF47" s="280">
        <v>0.5</v>
      </c>
      <c r="AI47" s="50" t="s">
        <v>15</v>
      </c>
      <c r="AJ47" s="271" t="s">
        <v>604</v>
      </c>
      <c r="AK47" s="337" t="s">
        <v>198</v>
      </c>
      <c r="AL47" s="129">
        <v>0</v>
      </c>
      <c r="AM47" s="129">
        <v>0</v>
      </c>
      <c r="AN47" s="129">
        <v>0</v>
      </c>
      <c r="AO47" s="129">
        <v>0</v>
      </c>
      <c r="AP47" s="129">
        <v>0</v>
      </c>
      <c r="AQ47" s="129">
        <v>0</v>
      </c>
      <c r="AR47" s="129">
        <v>0</v>
      </c>
      <c r="AS47" s="129">
        <v>0</v>
      </c>
      <c r="AT47" s="129">
        <v>0</v>
      </c>
      <c r="AU47" s="129">
        <v>0</v>
      </c>
      <c r="AV47" s="129">
        <v>0</v>
      </c>
      <c r="AW47" s="129">
        <v>0</v>
      </c>
    </row>
    <row r="48" spans="1:49" ht="14.4" x14ac:dyDescent="0.3">
      <c r="A48" s="279">
        <v>2003</v>
      </c>
      <c r="B48" s="340">
        <v>292.83</v>
      </c>
      <c r="C48" s="341">
        <v>94.07</v>
      </c>
      <c r="D48" s="340">
        <v>57.04</v>
      </c>
      <c r="E48" s="341">
        <v>126.01</v>
      </c>
      <c r="F48" s="340">
        <v>28</v>
      </c>
      <c r="G48" s="341">
        <v>12.29</v>
      </c>
      <c r="H48" s="340">
        <v>4.1100000000000003</v>
      </c>
      <c r="I48" s="341">
        <v>11.23</v>
      </c>
      <c r="J48" s="340">
        <v>39.19</v>
      </c>
      <c r="K48" s="341">
        <v>74.349999999999994</v>
      </c>
      <c r="L48" s="340">
        <v>82.14</v>
      </c>
      <c r="M48" s="341">
        <v>213.35</v>
      </c>
      <c r="N48" s="278">
        <v>2003</v>
      </c>
      <c r="O48" s="141">
        <v>3.4330688629398072</v>
      </c>
      <c r="P48" s="141">
        <v>3.2542061240042748</v>
      </c>
      <c r="Q48" s="141">
        <v>4.339908745827433</v>
      </c>
      <c r="R48" s="141">
        <v>4.4139542281182624</v>
      </c>
      <c r="S48" s="141">
        <v>4.7153345560342661</v>
      </c>
      <c r="T48" s="141">
        <v>5.132689834533422</v>
      </c>
      <c r="U48" s="141">
        <v>3.4339353425178931</v>
      </c>
      <c r="V48" s="141">
        <v>3.2402589009353808</v>
      </c>
      <c r="W48" s="141">
        <v>4.1677364680946738</v>
      </c>
      <c r="X48" s="141">
        <v>4.358725744606982</v>
      </c>
      <c r="Y48" s="141">
        <v>3.5573275173450609</v>
      </c>
      <c r="Z48" s="141">
        <v>2.9897405877762071</v>
      </c>
      <c r="AA48" s="243" t="s">
        <v>602</v>
      </c>
      <c r="AB48" s="244" t="s">
        <v>190</v>
      </c>
      <c r="AC48" s="243">
        <v>1.05</v>
      </c>
      <c r="AD48" s="243">
        <v>40000</v>
      </c>
      <c r="AE48" s="243">
        <v>1</v>
      </c>
      <c r="AF48" s="280">
        <v>0.5</v>
      </c>
      <c r="AI48" s="50" t="s">
        <v>15</v>
      </c>
      <c r="AJ48" s="271" t="s">
        <v>604</v>
      </c>
      <c r="AK48" s="337" t="s">
        <v>190</v>
      </c>
      <c r="AL48" s="129">
        <v>0</v>
      </c>
      <c r="AM48" s="129">
        <v>0</v>
      </c>
      <c r="AN48" s="129">
        <v>0</v>
      </c>
      <c r="AO48" s="129">
        <v>0</v>
      </c>
      <c r="AP48" s="129">
        <v>0</v>
      </c>
      <c r="AQ48" s="129">
        <v>0</v>
      </c>
      <c r="AR48" s="129">
        <v>0</v>
      </c>
      <c r="AS48" s="129">
        <v>0</v>
      </c>
      <c r="AT48" s="129">
        <v>0</v>
      </c>
      <c r="AU48" s="129">
        <v>0</v>
      </c>
      <c r="AV48" s="129">
        <v>0</v>
      </c>
      <c r="AW48" s="129">
        <v>0</v>
      </c>
    </row>
    <row r="49" spans="1:49" ht="14.4" x14ac:dyDescent="0.3">
      <c r="A49" s="279">
        <v>2004</v>
      </c>
      <c r="B49" s="340">
        <v>144.51</v>
      </c>
      <c r="C49" s="341">
        <v>51.02</v>
      </c>
      <c r="D49" s="340">
        <v>123.89</v>
      </c>
      <c r="E49" s="341">
        <v>81.02</v>
      </c>
      <c r="F49" s="340">
        <v>84.65</v>
      </c>
      <c r="G49" s="341">
        <v>17.52</v>
      </c>
      <c r="H49" s="340">
        <v>2.71</v>
      </c>
      <c r="I49" s="341">
        <v>9.57</v>
      </c>
      <c r="J49" s="340">
        <v>27.23</v>
      </c>
      <c r="K49" s="341">
        <v>52.22</v>
      </c>
      <c r="L49" s="340">
        <v>129.38</v>
      </c>
      <c r="M49" s="341">
        <v>196.35</v>
      </c>
      <c r="N49" s="278">
        <v>2004</v>
      </c>
      <c r="O49" s="141">
        <v>2.8453688638727872</v>
      </c>
      <c r="P49" s="141">
        <v>3.5349816648397989</v>
      </c>
      <c r="Q49" s="141">
        <v>3.8943404137467041</v>
      </c>
      <c r="R49" s="141">
        <v>5.2140299806157948</v>
      </c>
      <c r="S49" s="141">
        <v>4.9694591252797364</v>
      </c>
      <c r="T49" s="141">
        <v>5.2384258939949877</v>
      </c>
      <c r="U49" s="141">
        <v>3.9647610168559688</v>
      </c>
      <c r="V49" s="141">
        <v>3.302024434990229</v>
      </c>
      <c r="W49" s="141">
        <v>3.8607521813132668</v>
      </c>
      <c r="X49" s="141">
        <v>4.0588242965621193</v>
      </c>
      <c r="Y49" s="141">
        <v>3.6530610626174171</v>
      </c>
      <c r="Z49" s="141">
        <v>3.445210415479067</v>
      </c>
      <c r="AA49" s="243" t="s">
        <v>603</v>
      </c>
      <c r="AB49" s="243" t="s">
        <v>206</v>
      </c>
      <c r="AC49" s="243">
        <v>1</v>
      </c>
      <c r="AD49" s="243">
        <v>100000</v>
      </c>
      <c r="AE49" s="243">
        <v>1</v>
      </c>
      <c r="AF49" s="280">
        <v>0.5</v>
      </c>
      <c r="AI49" s="50" t="s">
        <v>15</v>
      </c>
      <c r="AJ49" s="271" t="s">
        <v>584</v>
      </c>
      <c r="AK49" s="337" t="s">
        <v>206</v>
      </c>
      <c r="AL49" s="129">
        <v>0</v>
      </c>
      <c r="AM49" s="129">
        <v>0</v>
      </c>
      <c r="AN49" s="129">
        <v>0</v>
      </c>
      <c r="AO49" s="129">
        <v>0</v>
      </c>
      <c r="AP49" s="129">
        <v>0</v>
      </c>
      <c r="AQ49" s="129">
        <v>0</v>
      </c>
      <c r="AR49" s="129">
        <v>0</v>
      </c>
      <c r="AS49" s="129">
        <v>0</v>
      </c>
      <c r="AT49" s="129">
        <v>0</v>
      </c>
      <c r="AU49" s="129">
        <v>0</v>
      </c>
      <c r="AV49" s="129">
        <v>0</v>
      </c>
      <c r="AW49" s="129">
        <v>0</v>
      </c>
    </row>
    <row r="50" spans="1:49" ht="14.4" x14ac:dyDescent="0.3">
      <c r="A50" s="279">
        <v>2005</v>
      </c>
      <c r="B50" s="340">
        <v>181.86</v>
      </c>
      <c r="C50" s="341">
        <v>132.61000000000001</v>
      </c>
      <c r="D50" s="340">
        <v>76.03</v>
      </c>
      <c r="E50" s="341">
        <v>55.21</v>
      </c>
      <c r="F50" s="340">
        <v>14.43</v>
      </c>
      <c r="G50" s="341">
        <v>13.34</v>
      </c>
      <c r="H50" s="340">
        <v>2.97</v>
      </c>
      <c r="I50" s="341">
        <v>3.75</v>
      </c>
      <c r="J50" s="340">
        <v>35.14</v>
      </c>
      <c r="K50" s="341">
        <v>34.96</v>
      </c>
      <c r="L50" s="340">
        <v>102.48</v>
      </c>
      <c r="M50" s="341">
        <v>178.51</v>
      </c>
      <c r="N50" s="278">
        <v>2005</v>
      </c>
      <c r="O50" s="141">
        <v>3.4965626601891442</v>
      </c>
      <c r="P50" s="141">
        <v>3.5056184014425882</v>
      </c>
      <c r="Q50" s="141">
        <v>4.4370015306135979</v>
      </c>
      <c r="R50" s="141">
        <v>4.3219920729960632</v>
      </c>
      <c r="S50" s="141">
        <v>4.9612297089807242</v>
      </c>
      <c r="T50" s="141">
        <v>4.7904691552944056</v>
      </c>
      <c r="U50" s="141">
        <v>3.5248331318838888</v>
      </c>
      <c r="V50" s="141">
        <v>3.555928473275443</v>
      </c>
      <c r="W50" s="141">
        <v>3.7559443658848521</v>
      </c>
      <c r="X50" s="141">
        <v>3.7921190270676761</v>
      </c>
      <c r="Y50" s="141">
        <v>3.2468941353559111</v>
      </c>
      <c r="Z50" s="141">
        <v>2.8645992882496478</v>
      </c>
      <c r="AA50" s="243" t="s">
        <v>603</v>
      </c>
      <c r="AB50" s="243" t="s">
        <v>198</v>
      </c>
      <c r="AC50" s="243">
        <v>1</v>
      </c>
      <c r="AD50" s="243">
        <v>100000</v>
      </c>
      <c r="AE50" s="243">
        <v>1</v>
      </c>
      <c r="AF50" s="280">
        <v>0.5</v>
      </c>
      <c r="AI50" s="50" t="s">
        <v>15</v>
      </c>
      <c r="AJ50" s="271" t="s">
        <v>584</v>
      </c>
      <c r="AK50" s="337" t="s">
        <v>198</v>
      </c>
      <c r="AL50" s="129">
        <v>0</v>
      </c>
      <c r="AM50" s="129">
        <v>0</v>
      </c>
      <c r="AN50" s="129">
        <v>0</v>
      </c>
      <c r="AO50" s="129">
        <v>0</v>
      </c>
      <c r="AP50" s="129">
        <v>0</v>
      </c>
      <c r="AQ50" s="129">
        <v>0</v>
      </c>
      <c r="AR50" s="129">
        <v>0</v>
      </c>
      <c r="AS50" s="129">
        <v>0</v>
      </c>
      <c r="AT50" s="129">
        <v>0</v>
      </c>
      <c r="AU50" s="129">
        <v>0</v>
      </c>
      <c r="AV50" s="129">
        <v>0</v>
      </c>
      <c r="AW50" s="129">
        <v>0</v>
      </c>
    </row>
    <row r="51" spans="1:49" ht="14.4" x14ac:dyDescent="0.3">
      <c r="A51" s="279">
        <v>2006</v>
      </c>
      <c r="B51" s="340">
        <v>169.21</v>
      </c>
      <c r="C51" s="341">
        <v>156.07</v>
      </c>
      <c r="D51" s="340">
        <v>56.55</v>
      </c>
      <c r="E51" s="341">
        <v>38.130000000000003</v>
      </c>
      <c r="F51" s="340">
        <v>66.23</v>
      </c>
      <c r="G51" s="341">
        <v>16.72</v>
      </c>
      <c r="H51" s="340">
        <v>4.5599999999999996</v>
      </c>
      <c r="I51" s="341">
        <v>9.65</v>
      </c>
      <c r="J51" s="340">
        <v>37.17</v>
      </c>
      <c r="K51" s="341">
        <v>22.96</v>
      </c>
      <c r="L51" s="340">
        <v>35.380000000000003</v>
      </c>
      <c r="M51" s="341">
        <v>180.96</v>
      </c>
      <c r="N51" s="278">
        <v>2006</v>
      </c>
      <c r="O51" s="141">
        <v>3.4261246926524929</v>
      </c>
      <c r="P51" s="141">
        <v>3.8317103802938131</v>
      </c>
      <c r="Q51" s="141">
        <v>4.842708568075869</v>
      </c>
      <c r="R51" s="141">
        <v>4.8368375135342569</v>
      </c>
      <c r="S51" s="141">
        <v>5.4501568628765646</v>
      </c>
      <c r="T51" s="141">
        <v>4.2930461112997698</v>
      </c>
      <c r="U51" s="141">
        <v>3.6462830313916719</v>
      </c>
      <c r="V51" s="141">
        <v>3.718442980259983</v>
      </c>
      <c r="W51" s="141">
        <v>3.696091064265183</v>
      </c>
      <c r="X51" s="141">
        <v>3.9031714143577059</v>
      </c>
      <c r="Y51" s="141">
        <v>3.6399865528806732</v>
      </c>
      <c r="Z51" s="141">
        <v>3.662638288553683</v>
      </c>
      <c r="AA51" s="243" t="s">
        <v>603</v>
      </c>
      <c r="AB51" s="243" t="s">
        <v>190</v>
      </c>
      <c r="AC51" s="243">
        <v>1</v>
      </c>
      <c r="AD51" s="243">
        <v>100000</v>
      </c>
      <c r="AE51" s="243">
        <v>1</v>
      </c>
      <c r="AF51" s="280">
        <v>0.5</v>
      </c>
      <c r="AI51" s="50" t="s">
        <v>15</v>
      </c>
      <c r="AJ51" s="271" t="s">
        <v>584</v>
      </c>
      <c r="AK51" s="337" t="s">
        <v>190</v>
      </c>
      <c r="AL51" s="129">
        <v>0</v>
      </c>
      <c r="AM51" s="129">
        <v>0</v>
      </c>
      <c r="AN51" s="129">
        <v>0</v>
      </c>
      <c r="AO51" s="129">
        <v>0</v>
      </c>
      <c r="AP51" s="129">
        <v>0</v>
      </c>
      <c r="AQ51" s="129">
        <v>0</v>
      </c>
      <c r="AR51" s="129">
        <v>0</v>
      </c>
      <c r="AS51" s="129">
        <v>0</v>
      </c>
      <c r="AT51" s="129">
        <v>0</v>
      </c>
      <c r="AU51" s="129">
        <v>0</v>
      </c>
      <c r="AV51" s="129">
        <v>0</v>
      </c>
      <c r="AW51" s="129">
        <v>0</v>
      </c>
    </row>
    <row r="52" spans="1:49" ht="14.4" x14ac:dyDescent="0.3">
      <c r="A52" s="279">
        <v>2007</v>
      </c>
      <c r="B52" s="340">
        <v>57.95</v>
      </c>
      <c r="C52" s="341">
        <v>66.569999999999993</v>
      </c>
      <c r="D52" s="340">
        <v>190.38</v>
      </c>
      <c r="E52" s="341">
        <v>116.68</v>
      </c>
      <c r="F52" s="340">
        <v>41.66</v>
      </c>
      <c r="G52" s="341">
        <v>17.559999999999999</v>
      </c>
      <c r="H52" s="340">
        <v>4.6500000000000004</v>
      </c>
      <c r="I52" s="341">
        <v>4.45</v>
      </c>
      <c r="J52" s="340">
        <v>69.2</v>
      </c>
      <c r="K52" s="341">
        <v>111.95</v>
      </c>
      <c r="L52" s="340">
        <v>131.77000000000001</v>
      </c>
      <c r="M52" s="341">
        <v>91.36</v>
      </c>
      <c r="N52" s="278">
        <v>2007</v>
      </c>
      <c r="O52" s="141">
        <v>3.441280476008258</v>
      </c>
      <c r="P52" s="141">
        <v>3.000512331155349</v>
      </c>
      <c r="Q52" s="141">
        <v>4.1237054941703821</v>
      </c>
      <c r="R52" s="141">
        <v>4.7139953402623673</v>
      </c>
      <c r="S52" s="141">
        <v>5.4129916077869353</v>
      </c>
      <c r="T52" s="141">
        <v>4.9196655620796088</v>
      </c>
      <c r="U52" s="141">
        <v>4.0006257392299522</v>
      </c>
      <c r="V52" s="141">
        <v>4.1296370112595264</v>
      </c>
      <c r="W52" s="141">
        <v>4.1319992390305984</v>
      </c>
      <c r="X52" s="141">
        <v>4.2305806559993124</v>
      </c>
      <c r="Y52" s="141">
        <v>3.4893035627238471</v>
      </c>
      <c r="Z52" s="141">
        <v>3.2500066872011799</v>
      </c>
      <c r="AA52" s="243" t="s">
        <v>604</v>
      </c>
      <c r="AB52" s="243" t="s">
        <v>206</v>
      </c>
      <c r="AC52" s="243">
        <v>1.05</v>
      </c>
      <c r="AD52" s="243">
        <v>150000</v>
      </c>
      <c r="AE52" s="243">
        <v>0.9</v>
      </c>
      <c r="AF52" s="280">
        <v>0.5</v>
      </c>
      <c r="AI52" s="50" t="s">
        <v>15</v>
      </c>
      <c r="AJ52" s="271" t="s">
        <v>589</v>
      </c>
      <c r="AK52" s="337" t="s">
        <v>206</v>
      </c>
      <c r="AL52" s="129">
        <v>0</v>
      </c>
      <c r="AM52" s="129">
        <v>0</v>
      </c>
      <c r="AN52" s="129">
        <v>0</v>
      </c>
      <c r="AO52" s="129">
        <v>0</v>
      </c>
      <c r="AP52" s="129">
        <v>0</v>
      </c>
      <c r="AQ52" s="129">
        <v>0</v>
      </c>
      <c r="AR52" s="129">
        <v>0</v>
      </c>
      <c r="AS52" s="129">
        <v>0</v>
      </c>
      <c r="AT52" s="129">
        <v>0</v>
      </c>
      <c r="AU52" s="129">
        <v>0</v>
      </c>
      <c r="AV52" s="129">
        <v>0</v>
      </c>
      <c r="AW52" s="129">
        <v>0</v>
      </c>
    </row>
    <row r="53" spans="1:49" ht="14.4" x14ac:dyDescent="0.3">
      <c r="A53" s="279">
        <v>2008</v>
      </c>
      <c r="B53" s="340">
        <v>49.16</v>
      </c>
      <c r="C53" s="341">
        <v>45.74</v>
      </c>
      <c r="D53" s="340">
        <v>122.52</v>
      </c>
      <c r="E53" s="341">
        <v>53.17</v>
      </c>
      <c r="F53" s="340">
        <v>86.15</v>
      </c>
      <c r="G53" s="341">
        <v>15.43</v>
      </c>
      <c r="H53" s="340">
        <v>5.13</v>
      </c>
      <c r="I53" s="341">
        <v>6.44</v>
      </c>
      <c r="J53" s="340">
        <v>77.14</v>
      </c>
      <c r="K53" s="341">
        <v>77.81</v>
      </c>
      <c r="L53" s="340">
        <v>141.69999999999999</v>
      </c>
      <c r="M53" s="341">
        <v>135.47999999999999</v>
      </c>
      <c r="N53" s="278">
        <v>2008</v>
      </c>
      <c r="O53" s="141">
        <v>3.520922401846251</v>
      </c>
      <c r="P53" s="141">
        <v>3.35824660960595</v>
      </c>
      <c r="Q53" s="141">
        <v>4.5095113536562259</v>
      </c>
      <c r="R53" s="141">
        <v>4.546353381347024</v>
      </c>
      <c r="S53" s="141">
        <v>5.3925459979825199</v>
      </c>
      <c r="T53" s="141">
        <v>4.6806282957512497</v>
      </c>
      <c r="U53" s="141">
        <v>3.4552478603036172</v>
      </c>
      <c r="V53" s="141">
        <v>2.968287761440604</v>
      </c>
      <c r="W53" s="141">
        <v>3.691515525091968</v>
      </c>
      <c r="X53" s="141">
        <v>4.1504989450619334</v>
      </c>
      <c r="Y53" s="141">
        <v>2.875295373331348</v>
      </c>
      <c r="Z53" s="141">
        <v>3.3066601753945828</v>
      </c>
      <c r="AA53" s="243" t="s">
        <v>604</v>
      </c>
      <c r="AB53" s="243" t="s">
        <v>198</v>
      </c>
      <c r="AC53" s="243">
        <v>1.05</v>
      </c>
      <c r="AD53" s="243">
        <v>150000</v>
      </c>
      <c r="AE53" s="243">
        <v>0.9</v>
      </c>
      <c r="AF53" s="280">
        <v>0.5</v>
      </c>
      <c r="AI53" s="50" t="s">
        <v>15</v>
      </c>
      <c r="AJ53" s="271" t="s">
        <v>589</v>
      </c>
      <c r="AK53" s="337" t="s">
        <v>198</v>
      </c>
      <c r="AL53" s="129">
        <v>0</v>
      </c>
      <c r="AM53" s="129">
        <v>0</v>
      </c>
      <c r="AN53" s="129">
        <v>0</v>
      </c>
      <c r="AO53" s="129">
        <v>0</v>
      </c>
      <c r="AP53" s="129">
        <v>0</v>
      </c>
      <c r="AQ53" s="129">
        <v>0</v>
      </c>
      <c r="AR53" s="129">
        <v>0</v>
      </c>
      <c r="AS53" s="129">
        <v>0</v>
      </c>
      <c r="AT53" s="129">
        <v>0</v>
      </c>
      <c r="AU53" s="129">
        <v>0</v>
      </c>
      <c r="AV53" s="129">
        <v>0</v>
      </c>
      <c r="AW53" s="129">
        <v>0</v>
      </c>
    </row>
    <row r="54" spans="1:49" ht="14.4" x14ac:dyDescent="0.3">
      <c r="A54" s="279">
        <v>2009</v>
      </c>
      <c r="B54" s="340">
        <v>285.23</v>
      </c>
      <c r="C54" s="341">
        <v>80.7</v>
      </c>
      <c r="D54" s="340">
        <v>104.74</v>
      </c>
      <c r="E54" s="341">
        <v>103.84</v>
      </c>
      <c r="F54" s="340">
        <v>43.73</v>
      </c>
      <c r="G54" s="341">
        <v>8</v>
      </c>
      <c r="H54" s="340">
        <v>4.47</v>
      </c>
      <c r="I54" s="341">
        <v>12.28</v>
      </c>
      <c r="J54" s="340">
        <v>106.66</v>
      </c>
      <c r="K54" s="341">
        <v>56.45</v>
      </c>
      <c r="L54" s="340">
        <v>109.27</v>
      </c>
      <c r="M54" s="341">
        <v>207.53</v>
      </c>
      <c r="N54" s="278">
        <v>2009</v>
      </c>
      <c r="O54" s="141">
        <v>3.5196388196490389</v>
      </c>
      <c r="P54" s="141">
        <v>3.2654076470979909</v>
      </c>
      <c r="Q54" s="141">
        <v>3.2639109450120509</v>
      </c>
      <c r="R54" s="141">
        <v>5.1942064205389871</v>
      </c>
      <c r="S54" s="141">
        <v>5.8519734340413372</v>
      </c>
      <c r="T54" s="141">
        <v>5.2480157320361576</v>
      </c>
      <c r="U54" s="141">
        <v>3.6796122258313821</v>
      </c>
      <c r="V54" s="141">
        <v>4.0107151349032062</v>
      </c>
      <c r="W54" s="141">
        <v>3.7526092369021402</v>
      </c>
      <c r="X54" s="141">
        <v>4.1576315461690267</v>
      </c>
      <c r="Y54" s="141">
        <v>3.3728258252972179</v>
      </c>
      <c r="Z54" s="141">
        <v>2.9380165838655068</v>
      </c>
      <c r="AA54" s="243" t="s">
        <v>604</v>
      </c>
      <c r="AB54" s="243" t="s">
        <v>190</v>
      </c>
      <c r="AC54" s="243">
        <v>1.05</v>
      </c>
      <c r="AD54" s="243">
        <v>150000</v>
      </c>
      <c r="AE54" s="243">
        <v>0.9</v>
      </c>
      <c r="AF54" s="280">
        <v>0.5</v>
      </c>
      <c r="AI54" s="50" t="s">
        <v>15</v>
      </c>
      <c r="AJ54" s="271" t="s">
        <v>589</v>
      </c>
      <c r="AK54" s="337" t="s">
        <v>190</v>
      </c>
      <c r="AL54" s="129">
        <v>0</v>
      </c>
      <c r="AM54" s="129">
        <v>0</v>
      </c>
      <c r="AN54" s="129">
        <v>0</v>
      </c>
      <c r="AO54" s="129">
        <v>0</v>
      </c>
      <c r="AP54" s="129">
        <v>0</v>
      </c>
      <c r="AQ54" s="129">
        <v>0</v>
      </c>
      <c r="AR54" s="129">
        <v>0</v>
      </c>
      <c r="AS54" s="129">
        <v>0</v>
      </c>
      <c r="AT54" s="129">
        <v>0</v>
      </c>
      <c r="AU54" s="129">
        <v>0</v>
      </c>
      <c r="AV54" s="129">
        <v>0</v>
      </c>
      <c r="AW54" s="129">
        <v>0</v>
      </c>
    </row>
    <row r="55" spans="1:49" x14ac:dyDescent="0.3">
      <c r="A55" s="279">
        <v>2010</v>
      </c>
      <c r="B55" s="340">
        <v>102.97</v>
      </c>
      <c r="C55" s="341">
        <v>86.86</v>
      </c>
      <c r="D55" s="340">
        <v>130.4</v>
      </c>
      <c r="E55" s="341">
        <v>69.95</v>
      </c>
      <c r="F55" s="340">
        <v>47.36</v>
      </c>
      <c r="G55" s="341">
        <v>27.3</v>
      </c>
      <c r="H55" s="340">
        <v>3.08</v>
      </c>
      <c r="I55" s="341">
        <v>10.39</v>
      </c>
      <c r="J55" s="340">
        <v>18.510000000000002</v>
      </c>
      <c r="K55" s="341">
        <v>89.83</v>
      </c>
      <c r="L55" s="340">
        <v>150.9</v>
      </c>
      <c r="M55" s="341">
        <v>117.59</v>
      </c>
      <c r="N55" s="278">
        <v>2010</v>
      </c>
      <c r="O55" s="141">
        <v>3.343702051268997</v>
      </c>
      <c r="P55" s="141">
        <v>3.0907768570237208</v>
      </c>
      <c r="Q55" s="141">
        <v>4.0851476634276152</v>
      </c>
      <c r="R55" s="141">
        <v>4.8782855152415303</v>
      </c>
      <c r="S55" s="141">
        <v>5.0577477704965927</v>
      </c>
      <c r="T55" s="141">
        <v>4.7111290835851056</v>
      </c>
      <c r="U55" s="141">
        <v>3.284439081980334</v>
      </c>
      <c r="V55" s="141">
        <v>3.2404403939516389</v>
      </c>
      <c r="W55" s="141">
        <v>3.4998197842527849</v>
      </c>
      <c r="X55" s="141">
        <v>4.0211085084872806</v>
      </c>
      <c r="Y55" s="141">
        <v>4.0076732180394536</v>
      </c>
      <c r="Z55" s="141">
        <v>3.647782489469102</v>
      </c>
      <c r="AA55" s="272"/>
      <c r="AB55" s="271"/>
      <c r="AC55" s="141"/>
      <c r="AD55" s="141"/>
      <c r="AE55" s="141"/>
      <c r="AF55" s="270"/>
      <c r="AI55" s="50" t="s">
        <v>16</v>
      </c>
      <c r="AJ55" s="271" t="s">
        <v>590</v>
      </c>
      <c r="AK55" s="337" t="s">
        <v>206</v>
      </c>
      <c r="AL55" s="129">
        <v>0</v>
      </c>
      <c r="AM55" s="129">
        <v>0</v>
      </c>
      <c r="AN55" s="129">
        <v>0</v>
      </c>
      <c r="AO55" s="129">
        <v>0</v>
      </c>
      <c r="AP55" s="129">
        <v>0</v>
      </c>
      <c r="AQ55" s="129">
        <v>0</v>
      </c>
      <c r="AR55" s="129">
        <v>0</v>
      </c>
      <c r="AS55" s="129">
        <v>0</v>
      </c>
      <c r="AT55" s="129">
        <v>0</v>
      </c>
      <c r="AU55" s="129">
        <v>0</v>
      </c>
      <c r="AV55" s="129">
        <v>0</v>
      </c>
      <c r="AW55" s="129">
        <v>0</v>
      </c>
    </row>
    <row r="56" spans="1:49" x14ac:dyDescent="0.3">
      <c r="A56" s="279">
        <v>2011</v>
      </c>
      <c r="B56" s="340">
        <v>90.92</v>
      </c>
      <c r="C56" s="341">
        <v>146.41</v>
      </c>
      <c r="D56" s="340">
        <v>98.91</v>
      </c>
      <c r="E56" s="341">
        <v>94.9</v>
      </c>
      <c r="F56" s="340">
        <v>87.81</v>
      </c>
      <c r="G56" s="341">
        <v>32.25</v>
      </c>
      <c r="H56" s="340">
        <v>3.21</v>
      </c>
      <c r="I56" s="341">
        <v>6.99</v>
      </c>
      <c r="J56" s="340">
        <v>17.5</v>
      </c>
      <c r="K56" s="341">
        <v>93.03</v>
      </c>
      <c r="L56" s="340">
        <v>137.53</v>
      </c>
      <c r="M56" s="341">
        <v>124.81</v>
      </c>
      <c r="N56" s="278">
        <v>2011</v>
      </c>
      <c r="O56" s="141">
        <v>3.3682527099952422</v>
      </c>
      <c r="P56" s="141">
        <v>3.476783398541285</v>
      </c>
      <c r="Q56" s="141">
        <v>4.08398929087166</v>
      </c>
      <c r="R56" s="141">
        <v>5.239109586120847</v>
      </c>
      <c r="S56" s="141">
        <v>4.7310184359237581</v>
      </c>
      <c r="T56" s="141">
        <v>4.6521186166700907</v>
      </c>
      <c r="U56" s="141">
        <v>3.7007270068393008</v>
      </c>
      <c r="V56" s="141">
        <v>3.4175128297174262</v>
      </c>
      <c r="W56" s="141">
        <v>3.7005810971265389</v>
      </c>
      <c r="X56" s="141">
        <v>4.0200520673051132</v>
      </c>
      <c r="Y56" s="141">
        <v>3.058594570399821</v>
      </c>
      <c r="Z56" s="141">
        <v>3.0626416970306369</v>
      </c>
      <c r="AA56" s="272"/>
      <c r="AB56" s="271"/>
      <c r="AC56" s="141"/>
      <c r="AD56" s="141"/>
      <c r="AE56" s="141"/>
      <c r="AF56" s="270"/>
      <c r="AI56" s="50" t="s">
        <v>16</v>
      </c>
      <c r="AJ56" s="271" t="s">
        <v>590</v>
      </c>
      <c r="AK56" s="337" t="s">
        <v>198</v>
      </c>
      <c r="AL56" s="129">
        <v>0</v>
      </c>
      <c r="AM56" s="129">
        <v>0</v>
      </c>
      <c r="AN56" s="129">
        <v>0</v>
      </c>
      <c r="AO56" s="129">
        <v>0</v>
      </c>
      <c r="AP56" s="129">
        <v>0</v>
      </c>
      <c r="AQ56" s="129">
        <v>0</v>
      </c>
      <c r="AR56" s="129">
        <v>0</v>
      </c>
      <c r="AS56" s="129">
        <v>0</v>
      </c>
      <c r="AT56" s="129">
        <v>0</v>
      </c>
      <c r="AU56" s="129">
        <v>0</v>
      </c>
      <c r="AV56" s="129">
        <v>0</v>
      </c>
      <c r="AW56" s="129">
        <v>0</v>
      </c>
    </row>
    <row r="57" spans="1:49" x14ac:dyDescent="0.3">
      <c r="A57" s="279">
        <v>2012</v>
      </c>
      <c r="B57" s="340">
        <v>104.07</v>
      </c>
      <c r="C57" s="341">
        <v>109.78</v>
      </c>
      <c r="D57" s="340">
        <v>110.81</v>
      </c>
      <c r="E57" s="341">
        <v>121.1</v>
      </c>
      <c r="F57" s="340">
        <v>23.37</v>
      </c>
      <c r="G57" s="341">
        <v>9.5</v>
      </c>
      <c r="H57" s="340">
        <v>2.93</v>
      </c>
      <c r="I57" s="341">
        <v>8</v>
      </c>
      <c r="J57" s="340">
        <v>34.68</v>
      </c>
      <c r="K57" s="341">
        <v>74.650000000000006</v>
      </c>
      <c r="L57" s="340">
        <v>128.72999999999999</v>
      </c>
      <c r="M57" s="341">
        <v>84.55</v>
      </c>
      <c r="N57" s="278">
        <v>2012</v>
      </c>
      <c r="O57" s="141">
        <v>2.959788144775954</v>
      </c>
      <c r="P57" s="141">
        <v>3.3044903400020642</v>
      </c>
      <c r="Q57" s="141">
        <v>4.7383457556886466</v>
      </c>
      <c r="R57" s="141">
        <v>4.9834439296816937</v>
      </c>
      <c r="S57" s="141">
        <v>4.7643405862905341</v>
      </c>
      <c r="T57" s="141">
        <v>4.84830783803669</v>
      </c>
      <c r="U57" s="141">
        <v>4.0737291596668506</v>
      </c>
      <c r="V57" s="141">
        <v>3.8712003972372502</v>
      </c>
      <c r="W57" s="141">
        <v>3.4528751683899639</v>
      </c>
      <c r="X57" s="141">
        <v>4.0580383385006078</v>
      </c>
      <c r="Y57" s="141">
        <v>3.890042804999593</v>
      </c>
      <c r="Z57" s="141">
        <v>3.218213807541761</v>
      </c>
      <c r="AA57" s="272"/>
      <c r="AB57" s="271"/>
      <c r="AC57" s="141"/>
      <c r="AD57" s="141"/>
      <c r="AE57" s="141"/>
      <c r="AF57" s="270"/>
      <c r="AI57" s="50" t="s">
        <v>16</v>
      </c>
      <c r="AJ57" s="271" t="s">
        <v>590</v>
      </c>
      <c r="AK57" s="337" t="s">
        <v>190</v>
      </c>
      <c r="AL57" s="129">
        <v>0</v>
      </c>
      <c r="AM57" s="129">
        <v>0</v>
      </c>
      <c r="AN57" s="129">
        <v>0</v>
      </c>
      <c r="AO57" s="129">
        <v>0</v>
      </c>
      <c r="AP57" s="129">
        <v>0</v>
      </c>
      <c r="AQ57" s="129">
        <v>0</v>
      </c>
      <c r="AR57" s="129">
        <v>0</v>
      </c>
      <c r="AS57" s="129">
        <v>0</v>
      </c>
      <c r="AT57" s="129">
        <v>0</v>
      </c>
      <c r="AU57" s="129">
        <v>0</v>
      </c>
      <c r="AV57" s="129">
        <v>0</v>
      </c>
      <c r="AW57" s="129">
        <v>0</v>
      </c>
    </row>
    <row r="58" spans="1:49" x14ac:dyDescent="0.3">
      <c r="A58" s="279">
        <v>2013</v>
      </c>
      <c r="B58" s="340">
        <v>201.57</v>
      </c>
      <c r="C58" s="341">
        <v>149.55000000000001</v>
      </c>
      <c r="D58" s="340">
        <v>113.94</v>
      </c>
      <c r="E58" s="341">
        <v>62.26</v>
      </c>
      <c r="F58" s="340">
        <v>77.22</v>
      </c>
      <c r="G58" s="341">
        <v>8.66</v>
      </c>
      <c r="H58" s="340">
        <v>3.01</v>
      </c>
      <c r="I58" s="341">
        <v>23.04</v>
      </c>
      <c r="J58" s="340">
        <v>36.9</v>
      </c>
      <c r="K58" s="341">
        <v>44.31</v>
      </c>
      <c r="L58" s="340">
        <v>160.47999999999999</v>
      </c>
      <c r="M58" s="341">
        <v>107.81</v>
      </c>
      <c r="N58" s="278">
        <v>2013</v>
      </c>
      <c r="O58" s="141">
        <v>3.767688219526597</v>
      </c>
      <c r="P58" s="141">
        <v>3.5216554633474821</v>
      </c>
      <c r="Q58" s="141">
        <v>4.9448659173303398</v>
      </c>
      <c r="R58" s="141">
        <v>4.1945805014146238</v>
      </c>
      <c r="S58" s="141">
        <v>5.7793294782584779</v>
      </c>
      <c r="T58" s="141">
        <v>4.778347279434854</v>
      </c>
      <c r="U58" s="141">
        <v>3.308303201104569</v>
      </c>
      <c r="V58" s="141">
        <v>3.5484817671753408</v>
      </c>
      <c r="W58" s="141">
        <v>3.847940051573977</v>
      </c>
      <c r="X58" s="141">
        <v>4.3220535478543241</v>
      </c>
      <c r="Y58" s="141">
        <v>3.7004379752816479</v>
      </c>
      <c r="Z58" s="141">
        <v>3.3757060975984921</v>
      </c>
      <c r="AA58" s="272"/>
      <c r="AB58" s="271"/>
      <c r="AC58" s="141"/>
      <c r="AD58" s="141"/>
      <c r="AE58" s="141"/>
      <c r="AF58" s="270"/>
      <c r="AI58" s="50" t="s">
        <v>16</v>
      </c>
      <c r="AJ58" s="271" t="s">
        <v>591</v>
      </c>
      <c r="AK58" s="337" t="s">
        <v>206</v>
      </c>
      <c r="AL58" s="129">
        <v>0</v>
      </c>
      <c r="AM58" s="129">
        <v>0</v>
      </c>
      <c r="AN58" s="129">
        <v>0</v>
      </c>
      <c r="AO58" s="129">
        <v>0</v>
      </c>
      <c r="AP58" s="129">
        <v>0</v>
      </c>
      <c r="AQ58" s="129">
        <v>0</v>
      </c>
      <c r="AR58" s="129">
        <v>0</v>
      </c>
      <c r="AS58" s="129">
        <v>0</v>
      </c>
      <c r="AT58" s="129">
        <v>0</v>
      </c>
      <c r="AU58" s="129">
        <v>0</v>
      </c>
      <c r="AV58" s="129">
        <v>0</v>
      </c>
      <c r="AW58" s="129">
        <v>0</v>
      </c>
    </row>
    <row r="59" spans="1:49" x14ac:dyDescent="0.3">
      <c r="A59" s="279">
        <v>2014</v>
      </c>
      <c r="B59" s="340">
        <v>115.12</v>
      </c>
      <c r="C59" s="341">
        <v>85.85</v>
      </c>
      <c r="D59" s="340">
        <v>190.89</v>
      </c>
      <c r="E59" s="341">
        <v>23.61</v>
      </c>
      <c r="F59" s="340">
        <v>21.22</v>
      </c>
      <c r="G59" s="341">
        <v>36.19</v>
      </c>
      <c r="H59" s="340">
        <v>2.3199999999999998</v>
      </c>
      <c r="I59" s="341">
        <v>3.07</v>
      </c>
      <c r="J59" s="340">
        <v>26.2</v>
      </c>
      <c r="K59" s="341">
        <v>42.68</v>
      </c>
      <c r="L59" s="340">
        <v>80.23</v>
      </c>
      <c r="M59" s="341">
        <v>283.2</v>
      </c>
      <c r="N59" s="278">
        <v>2014</v>
      </c>
      <c r="O59" s="141">
        <v>2.4932676359403811</v>
      </c>
      <c r="P59" s="141">
        <v>3.2863141449683968</v>
      </c>
      <c r="Q59" s="141">
        <v>4.2215487450259586</v>
      </c>
      <c r="R59" s="141">
        <v>4.8125277571223259</v>
      </c>
      <c r="S59" s="141">
        <v>5.7039963267476361</v>
      </c>
      <c r="T59" s="141">
        <v>4.966839884074461</v>
      </c>
      <c r="U59" s="141">
        <v>3.6329866143115139</v>
      </c>
      <c r="V59" s="141">
        <v>3.4902726925466241</v>
      </c>
      <c r="W59" s="141">
        <v>3.7729112167047489</v>
      </c>
      <c r="X59" s="141">
        <v>4.1595511657292841</v>
      </c>
      <c r="Y59" s="141">
        <v>3.7691952080374951</v>
      </c>
      <c r="Z59" s="141">
        <v>3.3303578392720761</v>
      </c>
      <c r="AA59" s="272"/>
      <c r="AB59" s="271"/>
      <c r="AC59" s="141"/>
      <c r="AD59" s="141"/>
      <c r="AE59" s="141"/>
      <c r="AF59" s="270"/>
      <c r="AI59" s="50" t="s">
        <v>16</v>
      </c>
      <c r="AJ59" s="271" t="s">
        <v>591</v>
      </c>
      <c r="AK59" s="337" t="s">
        <v>198</v>
      </c>
      <c r="AL59" s="129">
        <v>0</v>
      </c>
      <c r="AM59" s="129">
        <v>0</v>
      </c>
      <c r="AN59" s="129">
        <v>0</v>
      </c>
      <c r="AO59" s="129">
        <v>0</v>
      </c>
      <c r="AP59" s="129">
        <v>0</v>
      </c>
      <c r="AQ59" s="129">
        <v>0</v>
      </c>
      <c r="AR59" s="129">
        <v>0</v>
      </c>
      <c r="AS59" s="129">
        <v>0</v>
      </c>
      <c r="AT59" s="129">
        <v>0</v>
      </c>
      <c r="AU59" s="129">
        <v>0</v>
      </c>
      <c r="AV59" s="129">
        <v>0</v>
      </c>
      <c r="AW59" s="129">
        <v>0</v>
      </c>
    </row>
    <row r="60" spans="1:49" x14ac:dyDescent="0.3">
      <c r="A60" s="279">
        <v>2015</v>
      </c>
      <c r="B60" s="340">
        <v>146.87</v>
      </c>
      <c r="C60" s="341">
        <v>138.01</v>
      </c>
      <c r="D60" s="340">
        <v>99.35</v>
      </c>
      <c r="E60" s="341">
        <v>18.71</v>
      </c>
      <c r="F60" s="340">
        <v>21.7</v>
      </c>
      <c r="G60" s="341">
        <v>11.43</v>
      </c>
      <c r="H60" s="340">
        <v>2.36</v>
      </c>
      <c r="I60" s="341">
        <v>5.99</v>
      </c>
      <c r="J60" s="340">
        <v>41.85</v>
      </c>
      <c r="K60" s="341">
        <v>73.58</v>
      </c>
      <c r="L60" s="340">
        <v>90.16</v>
      </c>
      <c r="M60" s="341">
        <v>58.76</v>
      </c>
      <c r="N60" s="278">
        <v>2015</v>
      </c>
      <c r="O60" s="141">
        <v>3.6094539329850548</v>
      </c>
      <c r="P60" s="141">
        <v>3.5306511152675411</v>
      </c>
      <c r="Q60" s="141">
        <v>4.3289885875766148</v>
      </c>
      <c r="R60" s="141">
        <v>4.5624725859363284</v>
      </c>
      <c r="S60" s="141">
        <v>5.1702131889106537</v>
      </c>
      <c r="T60" s="141">
        <v>4.085475177870026</v>
      </c>
      <c r="U60" s="141">
        <v>3.2691226142294392</v>
      </c>
      <c r="V60" s="141">
        <v>3.5338497793982988</v>
      </c>
      <c r="W60" s="141">
        <v>3.0904354143949102</v>
      </c>
      <c r="X60" s="141">
        <v>3.7521328816821491</v>
      </c>
      <c r="Y60" s="141">
        <v>3.8333952683402912</v>
      </c>
      <c r="Z60" s="141">
        <v>3.0919149202294842</v>
      </c>
      <c r="AA60" s="272"/>
      <c r="AB60" s="271"/>
      <c r="AC60" s="141"/>
      <c r="AD60" s="141"/>
      <c r="AE60" s="141"/>
      <c r="AF60" s="270"/>
      <c r="AI60" s="50" t="s">
        <v>16</v>
      </c>
      <c r="AJ60" s="271" t="s">
        <v>591</v>
      </c>
      <c r="AK60" s="337" t="s">
        <v>190</v>
      </c>
      <c r="AL60" s="129">
        <v>0</v>
      </c>
      <c r="AM60" s="129">
        <v>0</v>
      </c>
      <c r="AN60" s="129">
        <v>0</v>
      </c>
      <c r="AO60" s="129">
        <v>0</v>
      </c>
      <c r="AP60" s="129">
        <v>0</v>
      </c>
      <c r="AQ60" s="129">
        <v>0</v>
      </c>
      <c r="AR60" s="129">
        <v>0</v>
      </c>
      <c r="AS60" s="129">
        <v>0</v>
      </c>
      <c r="AT60" s="129">
        <v>0</v>
      </c>
      <c r="AU60" s="129">
        <v>0</v>
      </c>
      <c r="AV60" s="129">
        <v>0</v>
      </c>
      <c r="AW60" s="129">
        <v>0</v>
      </c>
    </row>
    <row r="61" spans="1:49" x14ac:dyDescent="0.3">
      <c r="A61" s="279">
        <v>2016</v>
      </c>
      <c r="B61" s="340">
        <v>100.7</v>
      </c>
      <c r="C61" s="341">
        <v>119.84</v>
      </c>
      <c r="D61" s="340">
        <v>157.25</v>
      </c>
      <c r="E61" s="341">
        <v>80.400000000000006</v>
      </c>
      <c r="F61" s="340">
        <v>54.65</v>
      </c>
      <c r="G61" s="341">
        <v>12.92</v>
      </c>
      <c r="H61" s="340">
        <v>2.98</v>
      </c>
      <c r="I61" s="341">
        <v>2.13</v>
      </c>
      <c r="J61" s="340">
        <v>32.26</v>
      </c>
      <c r="K61" s="341">
        <v>24.88</v>
      </c>
      <c r="L61" s="340">
        <v>82.82</v>
      </c>
      <c r="M61" s="341">
        <v>120.04</v>
      </c>
      <c r="N61" s="278">
        <v>2016</v>
      </c>
      <c r="O61" s="141">
        <v>3.0834919337643272</v>
      </c>
      <c r="P61" s="141">
        <v>3.4989293603965721</v>
      </c>
      <c r="Q61" s="141">
        <v>4.0893333683380098</v>
      </c>
      <c r="R61" s="141">
        <v>4.9007037993603184</v>
      </c>
      <c r="S61" s="141">
        <v>4.5542859081438811</v>
      </c>
      <c r="T61" s="141">
        <v>4.8877301860164977</v>
      </c>
      <c r="U61" s="141">
        <v>3.576956760010356</v>
      </c>
      <c r="V61" s="141">
        <v>3.606193180541355</v>
      </c>
      <c r="W61" s="141">
        <v>3.5848141382984302</v>
      </c>
      <c r="X61" s="141">
        <v>4.295692096076217</v>
      </c>
      <c r="Y61" s="141">
        <v>3.720601503393929</v>
      </c>
      <c r="Z61" s="141">
        <v>2.990738832168772</v>
      </c>
      <c r="AA61" s="272"/>
      <c r="AB61" s="271"/>
      <c r="AC61" s="141"/>
      <c r="AD61" s="141"/>
      <c r="AE61" s="141"/>
      <c r="AF61" s="270"/>
      <c r="AI61" s="50" t="s">
        <v>16</v>
      </c>
      <c r="AJ61" s="271" t="s">
        <v>592</v>
      </c>
      <c r="AK61" s="337" t="s">
        <v>206</v>
      </c>
      <c r="AL61" s="129">
        <v>0</v>
      </c>
      <c r="AM61" s="129">
        <v>0</v>
      </c>
      <c r="AN61" s="129">
        <v>0</v>
      </c>
      <c r="AO61" s="129">
        <v>0</v>
      </c>
      <c r="AP61" s="129">
        <v>0</v>
      </c>
      <c r="AQ61" s="129">
        <v>0</v>
      </c>
      <c r="AR61" s="129">
        <v>0</v>
      </c>
      <c r="AS61" s="129">
        <v>0</v>
      </c>
      <c r="AT61" s="129">
        <v>0</v>
      </c>
      <c r="AU61" s="129">
        <v>0</v>
      </c>
      <c r="AV61" s="129">
        <v>0</v>
      </c>
      <c r="AW61" s="129">
        <v>0</v>
      </c>
    </row>
    <row r="62" spans="1:49" x14ac:dyDescent="0.3">
      <c r="A62" s="279">
        <v>2017</v>
      </c>
      <c r="B62" s="340">
        <v>177.29</v>
      </c>
      <c r="C62" s="341">
        <v>69.290000000000006</v>
      </c>
      <c r="D62" s="340">
        <v>28.21</v>
      </c>
      <c r="E62" s="341">
        <v>41.59</v>
      </c>
      <c r="F62" s="340">
        <v>15.33</v>
      </c>
      <c r="G62" s="341">
        <v>15.08</v>
      </c>
      <c r="H62" s="340">
        <v>2.1</v>
      </c>
      <c r="I62" s="341">
        <v>6.67</v>
      </c>
      <c r="J62" s="340">
        <v>23.7</v>
      </c>
      <c r="K62" s="341">
        <v>28.32</v>
      </c>
      <c r="L62" s="340">
        <v>119.8</v>
      </c>
      <c r="M62" s="341">
        <v>194.27</v>
      </c>
      <c r="N62" s="278">
        <v>2017</v>
      </c>
      <c r="O62" s="141">
        <v>3.5010927338535049</v>
      </c>
      <c r="P62" s="141">
        <v>3.2161217461463418</v>
      </c>
      <c r="Q62" s="141">
        <v>4.4643779194600093</v>
      </c>
      <c r="R62" s="141">
        <v>5.0060029106987436</v>
      </c>
      <c r="S62" s="141">
        <v>4.7834335475989818</v>
      </c>
      <c r="T62" s="141">
        <v>4.947162510603941</v>
      </c>
      <c r="U62" s="141">
        <v>4.1970805155444069</v>
      </c>
      <c r="V62" s="141">
        <v>3.781126708774508</v>
      </c>
      <c r="W62" s="141">
        <v>3.788697915750713</v>
      </c>
      <c r="X62" s="141">
        <v>4.3807152584465783</v>
      </c>
      <c r="Y62" s="141">
        <v>3.0484280995061201</v>
      </c>
      <c r="Z62" s="141">
        <v>3.1081604774569058</v>
      </c>
      <c r="AA62" s="272"/>
      <c r="AB62" s="271"/>
      <c r="AC62" s="141"/>
      <c r="AD62" s="141"/>
      <c r="AE62" s="141"/>
      <c r="AF62" s="270"/>
      <c r="AI62" s="50" t="s">
        <v>16</v>
      </c>
      <c r="AJ62" s="271" t="s">
        <v>592</v>
      </c>
      <c r="AK62" s="337" t="s">
        <v>198</v>
      </c>
      <c r="AL62" s="129">
        <v>0</v>
      </c>
      <c r="AM62" s="129">
        <v>0</v>
      </c>
      <c r="AN62" s="129">
        <v>0</v>
      </c>
      <c r="AO62" s="129">
        <v>0</v>
      </c>
      <c r="AP62" s="129">
        <v>0</v>
      </c>
      <c r="AQ62" s="129">
        <v>0</v>
      </c>
      <c r="AR62" s="129">
        <v>0</v>
      </c>
      <c r="AS62" s="129">
        <v>0</v>
      </c>
      <c r="AT62" s="129">
        <v>0</v>
      </c>
      <c r="AU62" s="129">
        <v>0</v>
      </c>
      <c r="AV62" s="129">
        <v>0</v>
      </c>
      <c r="AW62" s="129">
        <v>0</v>
      </c>
    </row>
    <row r="63" spans="1:49" x14ac:dyDescent="0.3">
      <c r="A63" s="279">
        <v>2018</v>
      </c>
      <c r="B63" s="340">
        <v>77.7</v>
      </c>
      <c r="C63" s="341">
        <v>81.12</v>
      </c>
      <c r="D63" s="340">
        <v>183.97</v>
      </c>
      <c r="E63" s="341">
        <v>81.099999999999994</v>
      </c>
      <c r="F63" s="340">
        <v>79.75</v>
      </c>
      <c r="G63" s="341">
        <v>22.47</v>
      </c>
      <c r="H63" s="340">
        <v>1.72</v>
      </c>
      <c r="I63" s="341">
        <v>6.89</v>
      </c>
      <c r="J63" s="340">
        <v>47.13</v>
      </c>
      <c r="K63" s="341">
        <v>123.01</v>
      </c>
      <c r="L63" s="340">
        <v>102.03</v>
      </c>
      <c r="M63" s="341">
        <v>67.510000000000005</v>
      </c>
      <c r="N63" s="278">
        <v>2018</v>
      </c>
      <c r="O63" s="141">
        <v>2.9513205662782438</v>
      </c>
      <c r="P63" s="141">
        <v>2.966384620348911</v>
      </c>
      <c r="Q63" s="141">
        <v>4.4730022347321619</v>
      </c>
      <c r="R63" s="141">
        <v>5.5037845761144322</v>
      </c>
      <c r="S63" s="141">
        <v>6.1636414219814606</v>
      </c>
      <c r="T63" s="141">
        <v>4.5240280775632904</v>
      </c>
      <c r="U63" s="141">
        <v>3.5432392903637981</v>
      </c>
      <c r="V63" s="141">
        <v>3.2816997475249639</v>
      </c>
      <c r="W63" s="141">
        <v>3.5848819454876719</v>
      </c>
      <c r="X63" s="141">
        <v>4.5535966053233947</v>
      </c>
      <c r="Y63" s="141">
        <v>3.4759085969525381</v>
      </c>
      <c r="Z63" s="141">
        <v>3.4703350538396651</v>
      </c>
      <c r="AA63" s="272"/>
      <c r="AB63" s="271"/>
      <c r="AC63" s="141"/>
      <c r="AD63" s="141"/>
      <c r="AE63" s="141"/>
      <c r="AF63" s="270"/>
      <c r="AI63" s="50" t="s">
        <v>16</v>
      </c>
      <c r="AJ63" s="271" t="s">
        <v>592</v>
      </c>
      <c r="AK63" s="337" t="s">
        <v>190</v>
      </c>
      <c r="AL63" s="129">
        <v>0</v>
      </c>
      <c r="AM63" s="129">
        <v>0</v>
      </c>
      <c r="AN63" s="129">
        <v>0</v>
      </c>
      <c r="AO63" s="129">
        <v>0</v>
      </c>
      <c r="AP63" s="129">
        <v>0</v>
      </c>
      <c r="AQ63" s="129">
        <v>0</v>
      </c>
      <c r="AR63" s="129">
        <v>0</v>
      </c>
      <c r="AS63" s="129">
        <v>0</v>
      </c>
      <c r="AT63" s="129">
        <v>0</v>
      </c>
      <c r="AU63" s="129">
        <v>0</v>
      </c>
      <c r="AV63" s="129">
        <v>0</v>
      </c>
      <c r="AW63" s="129">
        <v>0</v>
      </c>
    </row>
    <row r="64" spans="1:49" x14ac:dyDescent="0.3">
      <c r="A64" s="279">
        <v>2019</v>
      </c>
      <c r="B64" s="340">
        <v>179.36</v>
      </c>
      <c r="C64" s="341">
        <v>60.21</v>
      </c>
      <c r="D64" s="340">
        <v>69.2</v>
      </c>
      <c r="E64" s="341">
        <v>58.15</v>
      </c>
      <c r="F64" s="340">
        <v>31.64</v>
      </c>
      <c r="G64" s="341">
        <v>9.24</v>
      </c>
      <c r="H64" s="340">
        <v>3.29</v>
      </c>
      <c r="I64" s="341">
        <v>9.0500000000000007</v>
      </c>
      <c r="J64" s="340">
        <v>55.4</v>
      </c>
      <c r="K64" s="341">
        <v>48.18</v>
      </c>
      <c r="L64" s="340">
        <v>145.16</v>
      </c>
      <c r="M64" s="341">
        <v>117.57</v>
      </c>
      <c r="N64" s="278">
        <v>2019</v>
      </c>
      <c r="O64" s="141">
        <v>3.0628369905598261</v>
      </c>
      <c r="P64" s="141">
        <v>3.013720086331158</v>
      </c>
      <c r="Q64" s="141">
        <v>3.9975003207023891</v>
      </c>
      <c r="R64" s="141">
        <v>4.6114115722718108</v>
      </c>
      <c r="S64" s="141">
        <v>5.4684267562963367</v>
      </c>
      <c r="T64" s="141">
        <v>5.4776853187757206</v>
      </c>
      <c r="U64" s="141">
        <v>3.7111340525400749</v>
      </c>
      <c r="V64" s="141">
        <v>3.887349024522238</v>
      </c>
      <c r="W64" s="141">
        <v>3.798901655690218</v>
      </c>
      <c r="X64" s="141">
        <v>3.685759894471059</v>
      </c>
      <c r="Y64" s="141">
        <v>3.3588540196358769</v>
      </c>
      <c r="Z64" s="141">
        <v>2.900179641119728</v>
      </c>
      <c r="AA64" s="272"/>
      <c r="AB64" s="271"/>
      <c r="AC64" s="141"/>
      <c r="AD64" s="141"/>
      <c r="AE64" s="141"/>
      <c r="AF64" s="270"/>
      <c r="AI64" s="50" t="s">
        <v>16</v>
      </c>
      <c r="AJ64" s="271" t="s">
        <v>593</v>
      </c>
      <c r="AK64" s="337" t="s">
        <v>206</v>
      </c>
      <c r="AL64" s="129">
        <v>0</v>
      </c>
      <c r="AM64" s="129">
        <v>0</v>
      </c>
      <c r="AN64" s="129">
        <v>0</v>
      </c>
      <c r="AO64" s="129">
        <v>0</v>
      </c>
      <c r="AP64" s="129">
        <v>0</v>
      </c>
      <c r="AQ64" s="129">
        <v>0</v>
      </c>
      <c r="AR64" s="129">
        <v>0</v>
      </c>
      <c r="AS64" s="129">
        <v>0</v>
      </c>
      <c r="AT64" s="129">
        <v>0</v>
      </c>
      <c r="AU64" s="129">
        <v>0</v>
      </c>
      <c r="AV64" s="129">
        <v>0</v>
      </c>
      <c r="AW64" s="129">
        <v>0</v>
      </c>
    </row>
    <row r="65" spans="1:49" x14ac:dyDescent="0.3">
      <c r="A65" s="279">
        <v>2020</v>
      </c>
      <c r="B65" s="340">
        <v>78.540000000000006</v>
      </c>
      <c r="C65" s="341">
        <v>16.54</v>
      </c>
      <c r="D65" s="340">
        <v>133.88</v>
      </c>
      <c r="E65" s="341">
        <v>83</v>
      </c>
      <c r="F65" s="340">
        <v>10.41</v>
      </c>
      <c r="G65" s="341">
        <v>13.68</v>
      </c>
      <c r="H65" s="340">
        <v>1.96</v>
      </c>
      <c r="I65" s="341">
        <v>3.02</v>
      </c>
      <c r="J65" s="340">
        <v>29.11</v>
      </c>
      <c r="K65" s="341">
        <v>32.409999999999997</v>
      </c>
      <c r="L65" s="340">
        <v>116.64</v>
      </c>
      <c r="M65" s="341">
        <v>144.75</v>
      </c>
      <c r="N65" s="278">
        <v>2020</v>
      </c>
      <c r="O65" s="141">
        <v>3.145957125069148</v>
      </c>
      <c r="P65" s="141">
        <v>3.98445721948627</v>
      </c>
      <c r="Q65" s="141">
        <v>4.2050555527293074</v>
      </c>
      <c r="R65" s="141">
        <v>4.8814011740094827</v>
      </c>
      <c r="S65" s="141">
        <v>5.6616354394555426</v>
      </c>
      <c r="T65" s="141">
        <v>4.6204884906881896</v>
      </c>
      <c r="U65" s="141">
        <v>3.5353092659379608</v>
      </c>
      <c r="V65" s="141">
        <v>3.393559402147774</v>
      </c>
      <c r="W65" s="141">
        <v>3.838149375498999</v>
      </c>
      <c r="X65" s="141">
        <v>4.0693181404214247</v>
      </c>
      <c r="Y65" s="141">
        <v>3.878956906937912</v>
      </c>
      <c r="Z65" s="141">
        <v>3.5077849810486939</v>
      </c>
      <c r="AA65" s="272"/>
      <c r="AB65" s="271"/>
      <c r="AC65" s="141"/>
      <c r="AD65" s="141"/>
      <c r="AE65" s="141"/>
      <c r="AF65" s="270"/>
      <c r="AI65" s="50" t="s">
        <v>16</v>
      </c>
      <c r="AJ65" s="271" t="s">
        <v>593</v>
      </c>
      <c r="AK65" s="337" t="s">
        <v>198</v>
      </c>
      <c r="AL65" s="129">
        <v>0</v>
      </c>
      <c r="AM65" s="129">
        <v>0</v>
      </c>
      <c r="AN65" s="129">
        <v>0</v>
      </c>
      <c r="AO65" s="129">
        <v>0</v>
      </c>
      <c r="AP65" s="129">
        <v>0</v>
      </c>
      <c r="AQ65" s="129">
        <v>0</v>
      </c>
      <c r="AR65" s="129">
        <v>0</v>
      </c>
      <c r="AS65" s="129">
        <v>0</v>
      </c>
      <c r="AT65" s="129">
        <v>0</v>
      </c>
      <c r="AU65" s="129">
        <v>0</v>
      </c>
      <c r="AV65" s="129">
        <v>0</v>
      </c>
      <c r="AW65" s="129">
        <v>0</v>
      </c>
    </row>
    <row r="66" spans="1:49" x14ac:dyDescent="0.3">
      <c r="A66" s="279">
        <v>2021</v>
      </c>
      <c r="B66" s="340">
        <v>79.180000000000007</v>
      </c>
      <c r="C66" s="341">
        <v>47.05</v>
      </c>
      <c r="D66" s="340">
        <v>99.35</v>
      </c>
      <c r="E66" s="341">
        <v>53.32</v>
      </c>
      <c r="F66" s="340">
        <v>73.92</v>
      </c>
      <c r="G66" s="341">
        <v>16.02</v>
      </c>
      <c r="H66" s="340">
        <v>2.48</v>
      </c>
      <c r="I66" s="341">
        <v>6.01</v>
      </c>
      <c r="J66" s="340">
        <v>40.409999999999997</v>
      </c>
      <c r="K66" s="341">
        <v>27.4</v>
      </c>
      <c r="L66" s="340">
        <v>210.02</v>
      </c>
      <c r="M66" s="341">
        <v>88</v>
      </c>
      <c r="N66" s="278">
        <v>2021</v>
      </c>
      <c r="O66" s="141">
        <v>3.4265990299074649</v>
      </c>
      <c r="P66" s="141">
        <v>2.425584920462208</v>
      </c>
      <c r="Q66" s="141">
        <v>4.2151303266603728</v>
      </c>
      <c r="R66" s="141">
        <v>4.6182649902772566</v>
      </c>
      <c r="S66" s="141">
        <v>5.2126066784342786</v>
      </c>
      <c r="T66" s="141">
        <v>5.0398314197053864</v>
      </c>
      <c r="U66" s="141">
        <v>4.0232576661689698</v>
      </c>
      <c r="V66" s="141">
        <v>3.0873028249888521</v>
      </c>
      <c r="W66" s="141">
        <v>3.5737935910416971</v>
      </c>
      <c r="X66" s="141">
        <v>4.0879324381673783</v>
      </c>
      <c r="Y66" s="141">
        <v>3.6430623831430129</v>
      </c>
      <c r="Z66" s="141">
        <v>3.348026754780681</v>
      </c>
      <c r="AA66" s="272"/>
      <c r="AB66" s="271"/>
      <c r="AC66" s="141"/>
      <c r="AD66" s="141"/>
      <c r="AE66" s="141"/>
      <c r="AF66" s="270"/>
      <c r="AI66" s="50" t="s">
        <v>16</v>
      </c>
      <c r="AJ66" s="271" t="s">
        <v>593</v>
      </c>
      <c r="AK66" s="337" t="s">
        <v>190</v>
      </c>
      <c r="AL66" s="129">
        <v>0</v>
      </c>
      <c r="AM66" s="129">
        <v>0</v>
      </c>
      <c r="AN66" s="129">
        <v>0</v>
      </c>
      <c r="AO66" s="129">
        <v>0</v>
      </c>
      <c r="AP66" s="129">
        <v>0</v>
      </c>
      <c r="AQ66" s="129">
        <v>0</v>
      </c>
      <c r="AR66" s="129">
        <v>0</v>
      </c>
      <c r="AS66" s="129">
        <v>0</v>
      </c>
      <c r="AT66" s="129">
        <v>0</v>
      </c>
      <c r="AU66" s="129">
        <v>0</v>
      </c>
      <c r="AV66" s="129">
        <v>0</v>
      </c>
      <c r="AW66" s="129">
        <v>0</v>
      </c>
    </row>
    <row r="67" spans="1:49" x14ac:dyDescent="0.3">
      <c r="A67" s="279">
        <v>2022</v>
      </c>
      <c r="B67" s="340">
        <v>51.19</v>
      </c>
      <c r="C67" s="341">
        <v>53.43</v>
      </c>
      <c r="D67" s="340">
        <v>121.14</v>
      </c>
      <c r="E67" s="341">
        <v>114.57</v>
      </c>
      <c r="F67" s="340">
        <v>36.049999999999997</v>
      </c>
      <c r="G67" s="341">
        <v>8.15</v>
      </c>
      <c r="H67" s="340">
        <v>4.0199999999999996</v>
      </c>
      <c r="I67" s="341">
        <v>2.61</v>
      </c>
      <c r="J67" s="340">
        <v>37.69</v>
      </c>
      <c r="K67" s="341">
        <v>45.87</v>
      </c>
      <c r="L67" s="340">
        <v>73.760000000000005</v>
      </c>
      <c r="M67" s="341">
        <v>83.14</v>
      </c>
      <c r="N67" s="278">
        <v>2022</v>
      </c>
      <c r="O67" s="141">
        <v>3.3277200727786842</v>
      </c>
      <c r="P67" s="141">
        <v>3.4678922130770728</v>
      </c>
      <c r="Q67" s="141">
        <v>4.0558927605720161</v>
      </c>
      <c r="R67" s="141">
        <v>5.7091399152841058</v>
      </c>
      <c r="S67" s="141">
        <v>5.4062637184347517</v>
      </c>
      <c r="T67" s="141">
        <v>5.2034455305185467</v>
      </c>
      <c r="U67" s="141">
        <v>3.5761413282230641</v>
      </c>
      <c r="V67" s="141">
        <v>3.4238588799587051</v>
      </c>
      <c r="W67" s="141">
        <v>3.8135106664927259</v>
      </c>
      <c r="X67" s="141">
        <v>4.1194024511088543</v>
      </c>
      <c r="Y67" s="141">
        <v>3.9340332617384748</v>
      </c>
      <c r="Z67" s="141">
        <v>3.6963446865436</v>
      </c>
      <c r="AA67" s="272"/>
      <c r="AB67" s="271"/>
      <c r="AC67" s="141"/>
      <c r="AD67" s="141"/>
      <c r="AE67" s="141"/>
      <c r="AF67" s="270"/>
      <c r="AI67" s="50" t="s">
        <v>16</v>
      </c>
      <c r="AJ67" s="271" t="s">
        <v>594</v>
      </c>
      <c r="AK67" s="337" t="s">
        <v>206</v>
      </c>
      <c r="AL67" s="129">
        <v>0</v>
      </c>
      <c r="AM67" s="129">
        <v>0</v>
      </c>
      <c r="AN67" s="129">
        <v>0</v>
      </c>
      <c r="AO67" s="129">
        <v>0</v>
      </c>
      <c r="AP67" s="129">
        <v>0</v>
      </c>
      <c r="AQ67" s="129">
        <v>0</v>
      </c>
      <c r="AR67" s="129">
        <v>0</v>
      </c>
      <c r="AS67" s="129">
        <v>0</v>
      </c>
      <c r="AT67" s="129">
        <v>0</v>
      </c>
      <c r="AU67" s="129">
        <v>0</v>
      </c>
      <c r="AV67" s="129">
        <v>0</v>
      </c>
      <c r="AW67" s="129">
        <v>0</v>
      </c>
    </row>
    <row r="68" spans="1:49" x14ac:dyDescent="0.3">
      <c r="A68" s="279">
        <v>2023</v>
      </c>
      <c r="B68" s="340">
        <v>155.46</v>
      </c>
      <c r="C68" s="341">
        <v>55.52</v>
      </c>
      <c r="D68" s="340">
        <v>31.73</v>
      </c>
      <c r="E68" s="341">
        <v>17.5</v>
      </c>
      <c r="F68" s="340">
        <v>114.98</v>
      </c>
      <c r="G68" s="341">
        <v>42.91</v>
      </c>
      <c r="H68" s="340">
        <v>1.88</v>
      </c>
      <c r="I68" s="341">
        <v>2.3199999999999998</v>
      </c>
      <c r="J68" s="340">
        <v>25.93</v>
      </c>
      <c r="K68" s="341">
        <v>15.01</v>
      </c>
      <c r="L68" s="340">
        <v>102.1</v>
      </c>
      <c r="M68" s="341">
        <v>154.27000000000001</v>
      </c>
      <c r="N68" s="278">
        <v>2023</v>
      </c>
      <c r="O68" s="141">
        <v>3.5821362074451661</v>
      </c>
      <c r="P68" s="141">
        <v>3.3638393075042941</v>
      </c>
      <c r="Q68" s="141">
        <v>4.037281214968794</v>
      </c>
      <c r="R68" s="141">
        <v>4.7997521030565924</v>
      </c>
      <c r="S68" s="141">
        <v>5.3824775369856068</v>
      </c>
      <c r="T68" s="141">
        <v>5.286009046451924</v>
      </c>
      <c r="U68" s="141">
        <v>3.3606197997655309</v>
      </c>
      <c r="V68" s="141">
        <v>4.1553818732755863</v>
      </c>
      <c r="W68" s="141">
        <v>3.4987246579126041</v>
      </c>
      <c r="X68" s="141">
        <v>3.8364069653191328</v>
      </c>
      <c r="Y68" s="141">
        <v>3.9245226081128162</v>
      </c>
      <c r="Z68" s="141">
        <v>3.0397697738098128</v>
      </c>
      <c r="AA68" s="272"/>
      <c r="AB68" s="271"/>
      <c r="AC68" s="141"/>
      <c r="AD68" s="141"/>
      <c r="AE68" s="141"/>
      <c r="AF68" s="270"/>
      <c r="AI68" s="50" t="s">
        <v>16</v>
      </c>
      <c r="AJ68" s="271" t="s">
        <v>594</v>
      </c>
      <c r="AK68" s="337" t="s">
        <v>198</v>
      </c>
      <c r="AL68" s="129">
        <v>0</v>
      </c>
      <c r="AM68" s="129">
        <v>0</v>
      </c>
      <c r="AN68" s="129">
        <v>0</v>
      </c>
      <c r="AO68" s="129">
        <v>0</v>
      </c>
      <c r="AP68" s="129">
        <v>0</v>
      </c>
      <c r="AQ68" s="129">
        <v>0</v>
      </c>
      <c r="AR68" s="129">
        <v>0</v>
      </c>
      <c r="AS68" s="129">
        <v>0</v>
      </c>
      <c r="AT68" s="129">
        <v>0</v>
      </c>
      <c r="AU68" s="129">
        <v>0</v>
      </c>
      <c r="AV68" s="129">
        <v>0</v>
      </c>
      <c r="AW68" s="129">
        <v>0</v>
      </c>
    </row>
    <row r="69" spans="1:49" x14ac:dyDescent="0.3">
      <c r="A69" s="279">
        <v>2024</v>
      </c>
      <c r="B69" s="340">
        <v>85.07</v>
      </c>
      <c r="C69" s="341">
        <v>132.59</v>
      </c>
      <c r="D69" s="340">
        <v>54.17</v>
      </c>
      <c r="E69" s="341">
        <v>31.95</v>
      </c>
      <c r="F69" s="340">
        <v>21.05</v>
      </c>
      <c r="G69" s="341">
        <v>8.16</v>
      </c>
      <c r="H69" s="340">
        <v>1.74</v>
      </c>
      <c r="I69" s="341">
        <v>6.3</v>
      </c>
      <c r="J69" s="340">
        <v>45.35</v>
      </c>
      <c r="K69" s="341">
        <v>46.26</v>
      </c>
      <c r="L69" s="340">
        <v>79.239999999999995</v>
      </c>
      <c r="M69" s="341">
        <v>90.87</v>
      </c>
      <c r="N69" s="278">
        <v>2024</v>
      </c>
      <c r="O69" s="141">
        <v>3.155279448528439</v>
      </c>
      <c r="P69" s="141">
        <v>3.0959114039765998</v>
      </c>
      <c r="Q69" s="141">
        <v>4.1141606205458201</v>
      </c>
      <c r="R69" s="141">
        <v>5.0392605275839122</v>
      </c>
      <c r="S69" s="141">
        <v>5.0128665770607368</v>
      </c>
      <c r="T69" s="141">
        <v>4.6501991559272033</v>
      </c>
      <c r="U69" s="141">
        <v>3.9731034294845329</v>
      </c>
      <c r="V69" s="141">
        <v>3.156211061940124</v>
      </c>
      <c r="W69" s="141">
        <v>4.102050382178092</v>
      </c>
      <c r="X69" s="141">
        <v>4.0568995618154737</v>
      </c>
      <c r="Y69" s="141">
        <v>3.7450496639397168</v>
      </c>
      <c r="Z69" s="141">
        <v>2.9871385274323088</v>
      </c>
      <c r="AA69" s="272"/>
      <c r="AB69" s="271"/>
      <c r="AC69" s="141"/>
      <c r="AD69" s="141"/>
      <c r="AE69" s="141"/>
      <c r="AF69" s="270"/>
      <c r="AI69" s="50" t="s">
        <v>16</v>
      </c>
      <c r="AJ69" s="271" t="s">
        <v>594</v>
      </c>
      <c r="AK69" s="337" t="s">
        <v>190</v>
      </c>
      <c r="AL69" s="129">
        <v>0</v>
      </c>
      <c r="AM69" s="129">
        <v>0</v>
      </c>
      <c r="AN69" s="129">
        <v>0</v>
      </c>
      <c r="AO69" s="129">
        <v>0</v>
      </c>
      <c r="AP69" s="129">
        <v>0</v>
      </c>
      <c r="AQ69" s="129">
        <v>0</v>
      </c>
      <c r="AR69" s="129">
        <v>0</v>
      </c>
      <c r="AS69" s="129">
        <v>0</v>
      </c>
      <c r="AT69" s="129">
        <v>0</v>
      </c>
      <c r="AU69" s="129">
        <v>0</v>
      </c>
      <c r="AV69" s="129">
        <v>0</v>
      </c>
      <c r="AW69" s="129">
        <v>0</v>
      </c>
    </row>
    <row r="70" spans="1:49" x14ac:dyDescent="0.3">
      <c r="A70" s="279">
        <v>2025</v>
      </c>
      <c r="B70" s="340">
        <v>116.67</v>
      </c>
      <c r="C70" s="341">
        <v>34.18</v>
      </c>
      <c r="D70" s="340">
        <v>41.12</v>
      </c>
      <c r="E70" s="341">
        <v>65.05</v>
      </c>
      <c r="F70" s="340">
        <v>62.1</v>
      </c>
      <c r="G70" s="341">
        <v>6.36</v>
      </c>
      <c r="H70" s="340">
        <v>3.58</v>
      </c>
      <c r="I70" s="341">
        <v>2.59</v>
      </c>
      <c r="J70" s="340">
        <v>76.66</v>
      </c>
      <c r="K70" s="341">
        <v>41.23</v>
      </c>
      <c r="L70" s="340">
        <v>89.68</v>
      </c>
      <c r="M70" s="341">
        <v>116.65</v>
      </c>
      <c r="N70" s="278">
        <v>2025</v>
      </c>
      <c r="O70" s="141">
        <v>3.0945787372691238</v>
      </c>
      <c r="P70" s="141">
        <v>3.484884599298598</v>
      </c>
      <c r="Q70" s="141">
        <v>4.5120933762662556</v>
      </c>
      <c r="R70" s="141">
        <v>4.880991677531183</v>
      </c>
      <c r="S70" s="141">
        <v>5.3508738313566893</v>
      </c>
      <c r="T70" s="141">
        <v>5.1273574469870873</v>
      </c>
      <c r="U70" s="141">
        <v>3.3901228638428771</v>
      </c>
      <c r="V70" s="141">
        <v>3.116689090886561</v>
      </c>
      <c r="W70" s="141">
        <v>3.2298817994637852</v>
      </c>
      <c r="X70" s="141">
        <v>3.4856493179074701</v>
      </c>
      <c r="Y70" s="141">
        <v>3.3500719661745522</v>
      </c>
      <c r="Z70" s="141">
        <v>3.4572856879143332</v>
      </c>
      <c r="AI70" s="50" t="s">
        <v>16</v>
      </c>
      <c r="AJ70" s="271" t="s">
        <v>595</v>
      </c>
      <c r="AK70" s="337" t="s">
        <v>206</v>
      </c>
      <c r="AL70" s="129">
        <v>0</v>
      </c>
      <c r="AM70" s="129">
        <v>0</v>
      </c>
      <c r="AN70" s="129">
        <v>0</v>
      </c>
      <c r="AO70" s="129">
        <v>0</v>
      </c>
      <c r="AP70" s="129">
        <v>0</v>
      </c>
      <c r="AQ70" s="129">
        <v>0</v>
      </c>
      <c r="AR70" s="129">
        <v>0</v>
      </c>
      <c r="AS70" s="129">
        <v>0</v>
      </c>
      <c r="AT70" s="129">
        <v>0</v>
      </c>
      <c r="AU70" s="129">
        <v>0</v>
      </c>
      <c r="AV70" s="129">
        <v>0</v>
      </c>
      <c r="AW70" s="129">
        <v>0</v>
      </c>
    </row>
    <row r="71" spans="1:49" x14ac:dyDescent="0.3">
      <c r="A71" s="279">
        <v>2026</v>
      </c>
      <c r="B71" s="241">
        <v>540</v>
      </c>
      <c r="C71" s="241">
        <v>480</v>
      </c>
      <c r="D71" s="241">
        <v>1300</v>
      </c>
      <c r="E71" s="241">
        <v>1360</v>
      </c>
      <c r="F71" s="241">
        <v>1200</v>
      </c>
      <c r="G71" s="241">
        <v>1160</v>
      </c>
      <c r="H71" s="241">
        <v>570</v>
      </c>
      <c r="I71" s="241">
        <v>1040</v>
      </c>
      <c r="J71" s="241">
        <v>1800</v>
      </c>
      <c r="K71" s="241">
        <v>1019.9999999999999</v>
      </c>
      <c r="L71" s="241">
        <v>1180</v>
      </c>
      <c r="M71" s="241">
        <v>380</v>
      </c>
      <c r="N71" s="278">
        <v>2026</v>
      </c>
      <c r="O71" s="141">
        <v>3.5516995348362652</v>
      </c>
      <c r="P71" s="141">
        <v>3.5073088793048952</v>
      </c>
      <c r="Q71" s="141">
        <v>3.8979560393271679</v>
      </c>
      <c r="R71" s="141">
        <v>4.4900750528682511</v>
      </c>
      <c r="S71" s="141">
        <v>4.8772502853225692</v>
      </c>
      <c r="T71" s="141">
        <v>4.7748225534831903</v>
      </c>
      <c r="U71" s="141">
        <v>3.2256874973890381</v>
      </c>
      <c r="V71" s="141">
        <v>3.567666817299576</v>
      </c>
      <c r="W71" s="141">
        <v>3.764292760347681</v>
      </c>
      <c r="X71" s="141">
        <v>4.1109163199283154</v>
      </c>
      <c r="Y71" s="141">
        <v>2.9277396282986001</v>
      </c>
      <c r="Z71" s="141">
        <v>2.9169136194611558</v>
      </c>
      <c r="AI71" s="50" t="s">
        <v>16</v>
      </c>
      <c r="AJ71" s="271" t="s">
        <v>595</v>
      </c>
      <c r="AK71" s="337" t="s">
        <v>198</v>
      </c>
      <c r="AL71" s="129">
        <v>0</v>
      </c>
      <c r="AM71" s="129">
        <v>0</v>
      </c>
      <c r="AN71" s="129">
        <v>0</v>
      </c>
      <c r="AO71" s="129">
        <v>0</v>
      </c>
      <c r="AP71" s="129">
        <v>0</v>
      </c>
      <c r="AQ71" s="129">
        <v>0</v>
      </c>
      <c r="AR71" s="129">
        <v>0</v>
      </c>
      <c r="AS71" s="129">
        <v>0</v>
      </c>
      <c r="AT71" s="129">
        <v>0</v>
      </c>
      <c r="AU71" s="129">
        <v>0</v>
      </c>
      <c r="AV71" s="129">
        <v>0</v>
      </c>
      <c r="AW71" s="129">
        <v>0</v>
      </c>
    </row>
    <row r="72" spans="1:49" x14ac:dyDescent="0.3">
      <c r="A72" s="279">
        <v>2027</v>
      </c>
      <c r="B72" s="241">
        <v>540</v>
      </c>
      <c r="C72" s="241">
        <v>480</v>
      </c>
      <c r="D72" s="241">
        <v>1300</v>
      </c>
      <c r="E72" s="241">
        <v>1360</v>
      </c>
      <c r="F72" s="241">
        <v>1200</v>
      </c>
      <c r="G72" s="241">
        <v>1160</v>
      </c>
      <c r="H72" s="241">
        <v>570</v>
      </c>
      <c r="I72" s="241">
        <v>1040</v>
      </c>
      <c r="J72" s="241">
        <v>1800</v>
      </c>
      <c r="K72" s="241">
        <v>1019.9999999999999</v>
      </c>
      <c r="L72" s="241">
        <v>1180</v>
      </c>
      <c r="M72" s="241">
        <v>380</v>
      </c>
      <c r="N72" s="278">
        <v>2027</v>
      </c>
      <c r="O72" s="141">
        <v>2.389125431919974</v>
      </c>
      <c r="P72" s="141">
        <v>2.99784198115929</v>
      </c>
      <c r="Q72" s="141">
        <v>4.5675196866437302</v>
      </c>
      <c r="R72" s="141">
        <v>5.133855405034665</v>
      </c>
      <c r="S72" s="141">
        <v>4.6120093293369493</v>
      </c>
      <c r="T72" s="141">
        <v>4.283504142435139</v>
      </c>
      <c r="U72" s="141">
        <v>3.6569281682021009</v>
      </c>
      <c r="V72" s="141">
        <v>3.0122124194911222</v>
      </c>
      <c r="W72" s="141">
        <v>3.6125808278087899</v>
      </c>
      <c r="X72" s="141">
        <v>4.2175547718009838</v>
      </c>
      <c r="Y72" s="141">
        <v>3.806058295572234</v>
      </c>
      <c r="Z72" s="141">
        <v>2.5778523413731049</v>
      </c>
      <c r="AI72" s="50" t="s">
        <v>16</v>
      </c>
      <c r="AJ72" s="271" t="s">
        <v>595</v>
      </c>
      <c r="AK72" s="337" t="s">
        <v>190</v>
      </c>
      <c r="AL72" s="129">
        <v>0</v>
      </c>
      <c r="AM72" s="129">
        <v>0</v>
      </c>
      <c r="AN72" s="129">
        <v>0</v>
      </c>
      <c r="AO72" s="129">
        <v>0</v>
      </c>
      <c r="AP72" s="129">
        <v>0</v>
      </c>
      <c r="AQ72" s="129">
        <v>0</v>
      </c>
      <c r="AR72" s="129">
        <v>0</v>
      </c>
      <c r="AS72" s="129">
        <v>0</v>
      </c>
      <c r="AT72" s="129">
        <v>0</v>
      </c>
      <c r="AU72" s="129">
        <v>0</v>
      </c>
      <c r="AV72" s="129">
        <v>0</v>
      </c>
      <c r="AW72" s="129">
        <v>0</v>
      </c>
    </row>
    <row r="73" spans="1:49" x14ac:dyDescent="0.3">
      <c r="A73" s="279">
        <v>2028</v>
      </c>
      <c r="B73" s="241">
        <v>540</v>
      </c>
      <c r="C73" s="241">
        <v>480</v>
      </c>
      <c r="D73" s="241">
        <v>1300</v>
      </c>
      <c r="E73" s="241">
        <v>1360</v>
      </c>
      <c r="F73" s="241">
        <v>1200</v>
      </c>
      <c r="G73" s="241">
        <v>1160</v>
      </c>
      <c r="H73" s="241">
        <v>570</v>
      </c>
      <c r="I73" s="241">
        <v>1040</v>
      </c>
      <c r="J73" s="241">
        <v>1800</v>
      </c>
      <c r="K73" s="241">
        <v>1019.9999999999999</v>
      </c>
      <c r="L73" s="241">
        <v>1180</v>
      </c>
      <c r="M73" s="241">
        <v>380</v>
      </c>
      <c r="N73" s="278">
        <v>2028</v>
      </c>
      <c r="O73" s="141">
        <v>3.1684113254397959</v>
      </c>
      <c r="P73" s="141">
        <v>3.4631030038257409</v>
      </c>
      <c r="Q73" s="141">
        <v>3.881255840813949</v>
      </c>
      <c r="R73" s="141">
        <v>4.4029582870720114</v>
      </c>
      <c r="S73" s="141">
        <v>5.0345384787399698</v>
      </c>
      <c r="T73" s="141">
        <v>4.2522563582867496</v>
      </c>
      <c r="U73" s="141">
        <v>2.8374467843994848</v>
      </c>
      <c r="V73" s="141">
        <v>3.901332831311799</v>
      </c>
      <c r="W73" s="141">
        <v>3.6778221150554251</v>
      </c>
      <c r="X73" s="141">
        <v>3.7822176678927231</v>
      </c>
      <c r="Y73" s="141">
        <v>3.6283987488630669</v>
      </c>
      <c r="Z73" s="141">
        <v>3.4785179603260281</v>
      </c>
      <c r="AI73" s="50" t="s">
        <v>16</v>
      </c>
      <c r="AJ73" s="271" t="s">
        <v>596</v>
      </c>
      <c r="AK73" s="337" t="s">
        <v>206</v>
      </c>
      <c r="AL73" s="129">
        <v>0</v>
      </c>
      <c r="AM73" s="129">
        <v>0</v>
      </c>
      <c r="AN73" s="129">
        <v>0</v>
      </c>
      <c r="AO73" s="129">
        <v>0</v>
      </c>
      <c r="AP73" s="129">
        <v>0</v>
      </c>
      <c r="AQ73" s="129">
        <v>0</v>
      </c>
      <c r="AR73" s="129">
        <v>0</v>
      </c>
      <c r="AS73" s="129">
        <v>0</v>
      </c>
      <c r="AT73" s="129">
        <v>0</v>
      </c>
      <c r="AU73" s="129">
        <v>0</v>
      </c>
      <c r="AV73" s="129">
        <v>0</v>
      </c>
      <c r="AW73" s="129">
        <v>0</v>
      </c>
    </row>
    <row r="74" spans="1:49" x14ac:dyDescent="0.3">
      <c r="A74" s="279">
        <v>2029</v>
      </c>
      <c r="B74" s="241">
        <v>540</v>
      </c>
      <c r="C74" s="241">
        <v>480</v>
      </c>
      <c r="D74" s="241">
        <v>1300</v>
      </c>
      <c r="E74" s="241">
        <v>1360</v>
      </c>
      <c r="F74" s="241">
        <v>1200</v>
      </c>
      <c r="G74" s="241">
        <v>1160</v>
      </c>
      <c r="H74" s="241">
        <v>570</v>
      </c>
      <c r="I74" s="241">
        <v>1040</v>
      </c>
      <c r="J74" s="241">
        <v>1800</v>
      </c>
      <c r="K74" s="241">
        <v>1019.9999999999999</v>
      </c>
      <c r="L74" s="241">
        <v>1180</v>
      </c>
      <c r="M74" s="241">
        <v>380</v>
      </c>
      <c r="N74" s="278">
        <v>2029</v>
      </c>
      <c r="O74" s="141">
        <v>3.5391689854649129</v>
      </c>
      <c r="P74" s="141">
        <v>3.5776834877835979</v>
      </c>
      <c r="Q74" s="141">
        <v>3.5880811703922348</v>
      </c>
      <c r="R74" s="141">
        <v>4.9094389477569838</v>
      </c>
      <c r="S74" s="141">
        <v>5.0073754885237047</v>
      </c>
      <c r="T74" s="141">
        <v>4.7051336952962002</v>
      </c>
      <c r="U74" s="141">
        <v>3.35864735763161</v>
      </c>
      <c r="V74" s="141">
        <v>2.9171479248969421</v>
      </c>
      <c r="W74" s="141">
        <v>3.839492625228309</v>
      </c>
      <c r="X74" s="141">
        <v>4.1822262634611329</v>
      </c>
      <c r="Y74" s="141">
        <v>3.494317120224895</v>
      </c>
      <c r="Z74" s="141">
        <v>3.0987594891064609</v>
      </c>
      <c r="AI74" s="50" t="s">
        <v>16</v>
      </c>
      <c r="AJ74" s="271" t="s">
        <v>596</v>
      </c>
      <c r="AK74" s="337" t="s">
        <v>198</v>
      </c>
      <c r="AL74" s="129">
        <v>0</v>
      </c>
      <c r="AM74" s="129">
        <v>0</v>
      </c>
      <c r="AN74" s="129">
        <v>0</v>
      </c>
      <c r="AO74" s="129">
        <v>0</v>
      </c>
      <c r="AP74" s="129">
        <v>0</v>
      </c>
      <c r="AQ74" s="129">
        <v>0</v>
      </c>
      <c r="AR74" s="129">
        <v>0</v>
      </c>
      <c r="AS74" s="129">
        <v>0</v>
      </c>
      <c r="AT74" s="129">
        <v>0</v>
      </c>
      <c r="AU74" s="129">
        <v>0</v>
      </c>
      <c r="AV74" s="129">
        <v>0</v>
      </c>
      <c r="AW74" s="129">
        <v>0</v>
      </c>
    </row>
    <row r="75" spans="1:49" x14ac:dyDescent="0.3">
      <c r="A75" s="279">
        <v>2030</v>
      </c>
      <c r="B75" s="241">
        <v>540</v>
      </c>
      <c r="C75" s="241">
        <v>480</v>
      </c>
      <c r="D75" s="241">
        <v>1300</v>
      </c>
      <c r="E75" s="241">
        <v>1360</v>
      </c>
      <c r="F75" s="241">
        <v>1200</v>
      </c>
      <c r="G75" s="241">
        <v>1160</v>
      </c>
      <c r="H75" s="241">
        <v>570</v>
      </c>
      <c r="I75" s="241">
        <v>1040</v>
      </c>
      <c r="J75" s="241">
        <v>1800</v>
      </c>
      <c r="K75" s="241">
        <v>1019.9999999999999</v>
      </c>
      <c r="L75" s="241">
        <v>1180</v>
      </c>
      <c r="M75" s="241">
        <v>380</v>
      </c>
      <c r="N75" s="278">
        <v>2030</v>
      </c>
      <c r="O75" s="141">
        <v>3.397855809870487</v>
      </c>
      <c r="P75" s="141">
        <v>3.554041384266029</v>
      </c>
      <c r="Q75" s="141">
        <v>4.6060654858083963</v>
      </c>
      <c r="R75" s="141">
        <v>5.4006763034381908</v>
      </c>
      <c r="S75" s="141">
        <v>4.2707304174009844</v>
      </c>
      <c r="T75" s="141">
        <v>5.0318363676848401</v>
      </c>
      <c r="U75" s="141">
        <v>3.872302020382222</v>
      </c>
      <c r="V75" s="141">
        <v>3.8481449111721608</v>
      </c>
      <c r="W75" s="141">
        <v>3.8476418244138091</v>
      </c>
      <c r="X75" s="141">
        <v>3.9630076723809569</v>
      </c>
      <c r="Y75" s="141">
        <v>3.3334759946763399</v>
      </c>
      <c r="Z75" s="141">
        <v>2.9976446254083</v>
      </c>
      <c r="AI75" s="50" t="s">
        <v>16</v>
      </c>
      <c r="AJ75" s="271" t="s">
        <v>596</v>
      </c>
      <c r="AK75" s="337" t="s">
        <v>190</v>
      </c>
      <c r="AL75" s="129">
        <v>0</v>
      </c>
      <c r="AM75" s="129">
        <v>0</v>
      </c>
      <c r="AN75" s="129">
        <v>0</v>
      </c>
      <c r="AO75" s="129">
        <v>0</v>
      </c>
      <c r="AP75" s="129">
        <v>0</v>
      </c>
      <c r="AQ75" s="129">
        <v>0</v>
      </c>
      <c r="AR75" s="129">
        <v>0</v>
      </c>
      <c r="AS75" s="129">
        <v>0</v>
      </c>
      <c r="AT75" s="129">
        <v>0</v>
      </c>
      <c r="AU75" s="129">
        <v>0</v>
      </c>
      <c r="AV75" s="129">
        <v>0</v>
      </c>
      <c r="AW75" s="129">
        <v>0</v>
      </c>
    </row>
    <row r="76" spans="1:49" x14ac:dyDescent="0.3">
      <c r="A76" s="279">
        <v>2031</v>
      </c>
      <c r="B76" s="241">
        <v>540</v>
      </c>
      <c r="C76" s="241">
        <v>480</v>
      </c>
      <c r="D76" s="241">
        <v>1300</v>
      </c>
      <c r="E76" s="241">
        <v>1360</v>
      </c>
      <c r="F76" s="241">
        <v>1200</v>
      </c>
      <c r="G76" s="241">
        <v>1160</v>
      </c>
      <c r="H76" s="241">
        <v>570</v>
      </c>
      <c r="I76" s="241">
        <v>1040</v>
      </c>
      <c r="J76" s="241">
        <v>1800</v>
      </c>
      <c r="K76" s="241">
        <v>1019.9999999999999</v>
      </c>
      <c r="L76" s="241">
        <v>1180</v>
      </c>
      <c r="M76" s="241">
        <v>380</v>
      </c>
      <c r="N76" s="278">
        <v>2031</v>
      </c>
      <c r="O76" s="141">
        <v>2.925063324461191</v>
      </c>
      <c r="P76" s="141">
        <v>3.2382849076518929</v>
      </c>
      <c r="Q76" s="141">
        <v>4.6085755880267882</v>
      </c>
      <c r="R76" s="141">
        <v>4.3493884168044312</v>
      </c>
      <c r="S76" s="141">
        <v>4.5737653387461714</v>
      </c>
      <c r="T76" s="141">
        <v>4.619144585475258</v>
      </c>
      <c r="U76" s="141">
        <v>4.0334572362915244</v>
      </c>
      <c r="V76" s="141">
        <v>2.6535240292165452</v>
      </c>
      <c r="W76" s="141">
        <v>3.2817042859727259</v>
      </c>
      <c r="X76" s="141">
        <v>3.9492468001042531</v>
      </c>
      <c r="Y76" s="141">
        <v>3.7098924452753161</v>
      </c>
      <c r="Z76" s="141">
        <v>3.518609730246324</v>
      </c>
      <c r="AI76" s="50" t="s">
        <v>16</v>
      </c>
      <c r="AJ76" s="271" t="s">
        <v>597</v>
      </c>
      <c r="AK76" s="337" t="s">
        <v>206</v>
      </c>
      <c r="AL76" s="129">
        <v>0</v>
      </c>
      <c r="AM76" s="129">
        <v>0</v>
      </c>
      <c r="AN76" s="129">
        <v>0</v>
      </c>
      <c r="AO76" s="129">
        <v>0</v>
      </c>
      <c r="AP76" s="129">
        <v>0</v>
      </c>
      <c r="AQ76" s="129">
        <v>0</v>
      </c>
      <c r="AR76" s="129">
        <v>0</v>
      </c>
      <c r="AS76" s="129">
        <v>0</v>
      </c>
      <c r="AT76" s="129">
        <v>0</v>
      </c>
      <c r="AU76" s="129">
        <v>0</v>
      </c>
      <c r="AV76" s="129">
        <v>0</v>
      </c>
      <c r="AW76" s="129">
        <v>0</v>
      </c>
    </row>
    <row r="77" spans="1:49" x14ac:dyDescent="0.3">
      <c r="A77" s="279">
        <v>2032</v>
      </c>
      <c r="B77" s="241">
        <v>540</v>
      </c>
      <c r="C77" s="241">
        <v>480</v>
      </c>
      <c r="D77" s="241">
        <v>1300</v>
      </c>
      <c r="E77" s="241">
        <v>1360</v>
      </c>
      <c r="F77" s="241">
        <v>1200</v>
      </c>
      <c r="G77" s="241">
        <v>1160</v>
      </c>
      <c r="H77" s="241">
        <v>570</v>
      </c>
      <c r="I77" s="241">
        <v>1040</v>
      </c>
      <c r="J77" s="241">
        <v>1800</v>
      </c>
      <c r="K77" s="241">
        <v>1019.9999999999999</v>
      </c>
      <c r="L77" s="241">
        <v>1180</v>
      </c>
      <c r="M77" s="241">
        <v>380</v>
      </c>
      <c r="N77" s="278">
        <v>2032</v>
      </c>
      <c r="O77" s="141">
        <v>3.2775399775324439</v>
      </c>
      <c r="P77" s="141">
        <v>3.279988170310888</v>
      </c>
      <c r="Q77" s="141">
        <v>3.7575046022252869</v>
      </c>
      <c r="R77" s="141">
        <v>4.4504843039193176</v>
      </c>
      <c r="S77" s="141">
        <v>4.9522369309191783</v>
      </c>
      <c r="T77" s="141">
        <v>4.6397984334371714</v>
      </c>
      <c r="U77" s="141">
        <v>3.8384022873823009</v>
      </c>
      <c r="V77" s="141">
        <v>4.0999249067416672</v>
      </c>
      <c r="W77" s="141">
        <v>4.1344194284593856</v>
      </c>
      <c r="X77" s="141">
        <v>4.4370545479820276</v>
      </c>
      <c r="Y77" s="141">
        <v>3.761999571876391</v>
      </c>
      <c r="Z77" s="141">
        <v>2.9170917967985388</v>
      </c>
      <c r="AI77" s="50" t="s">
        <v>16</v>
      </c>
      <c r="AJ77" s="271" t="s">
        <v>597</v>
      </c>
      <c r="AK77" s="337" t="s">
        <v>198</v>
      </c>
      <c r="AL77" s="129">
        <v>0</v>
      </c>
      <c r="AM77" s="129">
        <v>0</v>
      </c>
      <c r="AN77" s="129">
        <v>0</v>
      </c>
      <c r="AO77" s="129">
        <v>0</v>
      </c>
      <c r="AP77" s="129">
        <v>0</v>
      </c>
      <c r="AQ77" s="129">
        <v>0</v>
      </c>
      <c r="AR77" s="129">
        <v>0</v>
      </c>
      <c r="AS77" s="129">
        <v>0</v>
      </c>
      <c r="AT77" s="129">
        <v>0</v>
      </c>
      <c r="AU77" s="129">
        <v>0</v>
      </c>
      <c r="AV77" s="129">
        <v>0</v>
      </c>
      <c r="AW77" s="129">
        <v>0</v>
      </c>
    </row>
    <row r="78" spans="1:49" x14ac:dyDescent="0.3">
      <c r="A78" s="279">
        <v>2033</v>
      </c>
      <c r="B78" s="241">
        <v>540</v>
      </c>
      <c r="C78" s="241">
        <v>480</v>
      </c>
      <c r="D78" s="241">
        <v>1300</v>
      </c>
      <c r="E78" s="241">
        <v>1360</v>
      </c>
      <c r="F78" s="241">
        <v>1200</v>
      </c>
      <c r="G78" s="241">
        <v>1160</v>
      </c>
      <c r="H78" s="241">
        <v>570</v>
      </c>
      <c r="I78" s="241">
        <v>1040</v>
      </c>
      <c r="J78" s="241">
        <v>1800</v>
      </c>
      <c r="K78" s="241">
        <v>1019.9999999999999</v>
      </c>
      <c r="L78" s="241">
        <v>1180</v>
      </c>
      <c r="M78" s="241">
        <v>380</v>
      </c>
      <c r="N78" s="278">
        <v>2033</v>
      </c>
      <c r="O78" s="141">
        <v>2.4386730672235348</v>
      </c>
      <c r="P78" s="141">
        <v>3.4990342337482292</v>
      </c>
      <c r="Q78" s="141">
        <v>3.7981361069986441</v>
      </c>
      <c r="R78" s="141">
        <v>4.4324369219091277</v>
      </c>
      <c r="S78" s="141">
        <v>4.1214767479029044</v>
      </c>
      <c r="T78" s="141">
        <v>5.1803637864761356</v>
      </c>
      <c r="U78" s="141">
        <v>4.3883776688324927</v>
      </c>
      <c r="V78" s="141">
        <v>3.6880535867627948</v>
      </c>
      <c r="W78" s="141">
        <v>3.394995051754341</v>
      </c>
      <c r="X78" s="141">
        <v>3.8193262797417948</v>
      </c>
      <c r="Y78" s="141">
        <v>4.1076963956280741</v>
      </c>
      <c r="Z78" s="141">
        <v>3.1259898258781189</v>
      </c>
      <c r="AI78" s="50" t="s">
        <v>16</v>
      </c>
      <c r="AJ78" s="271" t="s">
        <v>597</v>
      </c>
      <c r="AK78" s="337" t="s">
        <v>190</v>
      </c>
      <c r="AL78" s="129">
        <v>0</v>
      </c>
      <c r="AM78" s="129">
        <v>0</v>
      </c>
      <c r="AN78" s="129">
        <v>0</v>
      </c>
      <c r="AO78" s="129">
        <v>0</v>
      </c>
      <c r="AP78" s="129">
        <v>0</v>
      </c>
      <c r="AQ78" s="129">
        <v>0</v>
      </c>
      <c r="AR78" s="129">
        <v>0</v>
      </c>
      <c r="AS78" s="129">
        <v>0</v>
      </c>
      <c r="AT78" s="129">
        <v>0</v>
      </c>
      <c r="AU78" s="129">
        <v>0</v>
      </c>
      <c r="AV78" s="129">
        <v>0</v>
      </c>
      <c r="AW78" s="129">
        <v>0</v>
      </c>
    </row>
    <row r="79" spans="1:49" x14ac:dyDescent="0.3">
      <c r="A79" s="279">
        <v>2034</v>
      </c>
      <c r="B79" s="241">
        <v>540</v>
      </c>
      <c r="C79" s="241">
        <v>480</v>
      </c>
      <c r="D79" s="241">
        <v>1300</v>
      </c>
      <c r="E79" s="241">
        <v>1360</v>
      </c>
      <c r="F79" s="241">
        <v>1200</v>
      </c>
      <c r="G79" s="241">
        <v>1160</v>
      </c>
      <c r="H79" s="241">
        <v>570</v>
      </c>
      <c r="I79" s="241">
        <v>1040</v>
      </c>
      <c r="J79" s="241">
        <v>1800</v>
      </c>
      <c r="K79" s="241">
        <v>1019.9999999999999</v>
      </c>
      <c r="L79" s="241">
        <v>1180</v>
      </c>
      <c r="M79" s="241">
        <v>380</v>
      </c>
      <c r="N79" s="278">
        <v>2034</v>
      </c>
      <c r="O79" s="141">
        <v>2.9507168244725088</v>
      </c>
      <c r="P79" s="141">
        <v>2.836090972015135</v>
      </c>
      <c r="Q79" s="141">
        <v>4.1589727758387651</v>
      </c>
      <c r="R79" s="141">
        <v>5.1304746462387314</v>
      </c>
      <c r="S79" s="141">
        <v>5.1462350996003154</v>
      </c>
      <c r="T79" s="141">
        <v>4.7461505287305732</v>
      </c>
      <c r="U79" s="141">
        <v>3.8238843446649149</v>
      </c>
      <c r="V79" s="141">
        <v>2.9711407289725669</v>
      </c>
      <c r="W79" s="141">
        <v>2.9107755022689421</v>
      </c>
      <c r="X79" s="141">
        <v>3.3760997160114878</v>
      </c>
      <c r="Y79" s="141">
        <v>3.6221585583968272</v>
      </c>
      <c r="Z79" s="141">
        <v>3.6746773274894031</v>
      </c>
      <c r="AI79" s="50" t="s">
        <v>16</v>
      </c>
      <c r="AJ79" s="271" t="s">
        <v>598</v>
      </c>
      <c r="AK79" s="337" t="s">
        <v>206</v>
      </c>
      <c r="AL79" s="129">
        <v>0</v>
      </c>
      <c r="AM79" s="129">
        <v>0</v>
      </c>
      <c r="AN79" s="129">
        <v>0</v>
      </c>
      <c r="AO79" s="129">
        <v>0</v>
      </c>
      <c r="AP79" s="129">
        <v>0</v>
      </c>
      <c r="AQ79" s="129">
        <v>0</v>
      </c>
      <c r="AR79" s="129">
        <v>0</v>
      </c>
      <c r="AS79" s="129">
        <v>0</v>
      </c>
      <c r="AT79" s="129">
        <v>0</v>
      </c>
      <c r="AU79" s="129">
        <v>0</v>
      </c>
      <c r="AV79" s="129">
        <v>0</v>
      </c>
      <c r="AW79" s="129">
        <v>0</v>
      </c>
    </row>
    <row r="80" spans="1:49" x14ac:dyDescent="0.3">
      <c r="A80" s="279">
        <v>2035</v>
      </c>
      <c r="B80" s="241">
        <v>540</v>
      </c>
      <c r="C80" s="241">
        <v>480</v>
      </c>
      <c r="D80" s="241">
        <v>1300</v>
      </c>
      <c r="E80" s="241">
        <v>1360</v>
      </c>
      <c r="F80" s="241">
        <v>1200</v>
      </c>
      <c r="G80" s="241">
        <v>1160</v>
      </c>
      <c r="H80" s="241">
        <v>570</v>
      </c>
      <c r="I80" s="241">
        <v>1040</v>
      </c>
      <c r="J80" s="241">
        <v>1800</v>
      </c>
      <c r="K80" s="241">
        <v>1019.9999999999999</v>
      </c>
      <c r="L80" s="241">
        <v>1180</v>
      </c>
      <c r="M80" s="241">
        <v>380</v>
      </c>
      <c r="N80" s="278">
        <v>2035</v>
      </c>
      <c r="O80" s="141">
        <v>3.516803631673775</v>
      </c>
      <c r="P80" s="141">
        <v>3.491419374581791</v>
      </c>
      <c r="Q80" s="141">
        <v>4.0170379832296366</v>
      </c>
      <c r="R80" s="141">
        <v>4.2878764854422498</v>
      </c>
      <c r="S80" s="141">
        <v>5.0190007457589259</v>
      </c>
      <c r="T80" s="141">
        <v>4.6151351095251893</v>
      </c>
      <c r="U80" s="141">
        <v>3.8635970694391411</v>
      </c>
      <c r="V80" s="141">
        <v>3.07506781104287</v>
      </c>
      <c r="W80" s="141">
        <v>3.633778619909493</v>
      </c>
      <c r="X80" s="141">
        <v>3.633330922928157</v>
      </c>
      <c r="Y80" s="141">
        <v>4.0177983788616602</v>
      </c>
      <c r="Z80" s="141">
        <v>3.3609308420363351</v>
      </c>
      <c r="AI80" s="50" t="s">
        <v>16</v>
      </c>
      <c r="AJ80" s="271" t="s">
        <v>598</v>
      </c>
      <c r="AK80" s="337" t="s">
        <v>198</v>
      </c>
      <c r="AL80" s="129">
        <v>0</v>
      </c>
      <c r="AM80" s="129">
        <v>0</v>
      </c>
      <c r="AN80" s="129">
        <v>0</v>
      </c>
      <c r="AO80" s="129">
        <v>0</v>
      </c>
      <c r="AP80" s="129">
        <v>0</v>
      </c>
      <c r="AQ80" s="129">
        <v>0</v>
      </c>
      <c r="AR80" s="129">
        <v>0</v>
      </c>
      <c r="AS80" s="129">
        <v>0</v>
      </c>
      <c r="AT80" s="129">
        <v>0</v>
      </c>
      <c r="AU80" s="129">
        <v>0</v>
      </c>
      <c r="AV80" s="129">
        <v>0</v>
      </c>
      <c r="AW80" s="129">
        <v>0</v>
      </c>
    </row>
    <row r="81" spans="1:49" x14ac:dyDescent="0.3">
      <c r="A81" s="279">
        <v>2036</v>
      </c>
      <c r="B81" s="241">
        <v>540</v>
      </c>
      <c r="C81" s="241">
        <v>480</v>
      </c>
      <c r="D81" s="241">
        <v>1300</v>
      </c>
      <c r="E81" s="241">
        <v>1360</v>
      </c>
      <c r="F81" s="241">
        <v>1200</v>
      </c>
      <c r="G81" s="241">
        <v>1160</v>
      </c>
      <c r="H81" s="241">
        <v>570</v>
      </c>
      <c r="I81" s="241">
        <v>1040</v>
      </c>
      <c r="J81" s="241">
        <v>1800</v>
      </c>
      <c r="K81" s="241">
        <v>1019.9999999999999</v>
      </c>
      <c r="L81" s="241">
        <v>1180</v>
      </c>
      <c r="M81" s="241">
        <v>380</v>
      </c>
      <c r="N81" s="278">
        <v>2036</v>
      </c>
      <c r="O81" s="141">
        <v>3.4352432052444728</v>
      </c>
      <c r="P81" s="141">
        <v>3.764096356307336</v>
      </c>
      <c r="Q81" s="141">
        <v>4.7104964124038764</v>
      </c>
      <c r="R81" s="141">
        <v>5.2215077824143288</v>
      </c>
      <c r="S81" s="141">
        <v>4.6350001485140009</v>
      </c>
      <c r="T81" s="141">
        <v>5.0191922972463434</v>
      </c>
      <c r="U81" s="141">
        <v>4.0241425429006998</v>
      </c>
      <c r="V81" s="141">
        <v>3.2460976480311401</v>
      </c>
      <c r="W81" s="141">
        <v>3.638282802227272</v>
      </c>
      <c r="X81" s="141">
        <v>4.0338763545059022</v>
      </c>
      <c r="Y81" s="141">
        <v>3.758953452683524</v>
      </c>
      <c r="Z81" s="141">
        <v>3.2671348239413671</v>
      </c>
      <c r="AI81" s="50" t="s">
        <v>16</v>
      </c>
      <c r="AJ81" s="271" t="s">
        <v>598</v>
      </c>
      <c r="AK81" s="337" t="s">
        <v>190</v>
      </c>
      <c r="AL81" s="129">
        <v>0</v>
      </c>
      <c r="AM81" s="129">
        <v>0</v>
      </c>
      <c r="AN81" s="129">
        <v>0</v>
      </c>
      <c r="AO81" s="129">
        <v>0</v>
      </c>
      <c r="AP81" s="129">
        <v>0</v>
      </c>
      <c r="AQ81" s="129">
        <v>0</v>
      </c>
      <c r="AR81" s="129">
        <v>0</v>
      </c>
      <c r="AS81" s="129">
        <v>0</v>
      </c>
      <c r="AT81" s="129">
        <v>0</v>
      </c>
      <c r="AU81" s="129">
        <v>0</v>
      </c>
      <c r="AV81" s="129">
        <v>0</v>
      </c>
      <c r="AW81" s="129">
        <v>0</v>
      </c>
    </row>
    <row r="82" spans="1:49" x14ac:dyDescent="0.3">
      <c r="A82" s="279">
        <v>2037</v>
      </c>
      <c r="B82" s="241">
        <v>540</v>
      </c>
      <c r="C82" s="241">
        <v>480</v>
      </c>
      <c r="D82" s="241">
        <v>1300</v>
      </c>
      <c r="E82" s="241">
        <v>1360</v>
      </c>
      <c r="F82" s="241">
        <v>1200</v>
      </c>
      <c r="G82" s="241">
        <v>1160</v>
      </c>
      <c r="H82" s="241">
        <v>570</v>
      </c>
      <c r="I82" s="241">
        <v>1040</v>
      </c>
      <c r="J82" s="241">
        <v>1800</v>
      </c>
      <c r="K82" s="241">
        <v>1019.9999999999999</v>
      </c>
      <c r="L82" s="241">
        <v>1180</v>
      </c>
      <c r="M82" s="241">
        <v>380</v>
      </c>
      <c r="N82" s="278">
        <v>2037</v>
      </c>
      <c r="O82" s="141">
        <v>2.9371132328969249</v>
      </c>
      <c r="P82" s="141">
        <v>3.3396964358492101</v>
      </c>
      <c r="Q82" s="141">
        <v>4.1708910842434443</v>
      </c>
      <c r="R82" s="141">
        <v>5.4718326368358348</v>
      </c>
      <c r="S82" s="141">
        <v>5.6494017230895928</v>
      </c>
      <c r="T82" s="141">
        <v>5.0219331016206548</v>
      </c>
      <c r="U82" s="141">
        <v>4.4281541594403686</v>
      </c>
      <c r="V82" s="141">
        <v>3.01001015213006</v>
      </c>
      <c r="W82" s="141">
        <v>3.6092684144241569</v>
      </c>
      <c r="X82" s="141">
        <v>4.2873258259802114</v>
      </c>
      <c r="Y82" s="141">
        <v>3.3951563418681472</v>
      </c>
      <c r="Z82" s="141">
        <v>2.8022508777588269</v>
      </c>
      <c r="AI82" s="50" t="s">
        <v>16</v>
      </c>
      <c r="AJ82" s="271" t="s">
        <v>599</v>
      </c>
      <c r="AK82" s="337" t="s">
        <v>206</v>
      </c>
      <c r="AL82" s="129">
        <v>0</v>
      </c>
      <c r="AM82" s="129">
        <v>0</v>
      </c>
      <c r="AN82" s="129">
        <v>0</v>
      </c>
      <c r="AO82" s="129">
        <v>0</v>
      </c>
      <c r="AP82" s="129">
        <v>0</v>
      </c>
      <c r="AQ82" s="129">
        <v>0</v>
      </c>
      <c r="AR82" s="129">
        <v>0</v>
      </c>
      <c r="AS82" s="129">
        <v>0</v>
      </c>
      <c r="AT82" s="129">
        <v>0</v>
      </c>
      <c r="AU82" s="129">
        <v>0</v>
      </c>
      <c r="AV82" s="129">
        <v>0</v>
      </c>
      <c r="AW82" s="129">
        <v>0</v>
      </c>
    </row>
    <row r="83" spans="1:49" x14ac:dyDescent="0.3">
      <c r="A83" s="279">
        <v>2038</v>
      </c>
      <c r="B83" s="241">
        <v>540</v>
      </c>
      <c r="C83" s="241">
        <v>480</v>
      </c>
      <c r="D83" s="241">
        <v>1300</v>
      </c>
      <c r="E83" s="241">
        <v>1360</v>
      </c>
      <c r="F83" s="241">
        <v>1200</v>
      </c>
      <c r="G83" s="241">
        <v>1160</v>
      </c>
      <c r="H83" s="241">
        <v>570</v>
      </c>
      <c r="I83" s="241">
        <v>1040</v>
      </c>
      <c r="J83" s="241">
        <v>1800</v>
      </c>
      <c r="K83" s="241">
        <v>1019.9999999999999</v>
      </c>
      <c r="L83" s="241">
        <v>1180</v>
      </c>
      <c r="M83" s="241">
        <v>380</v>
      </c>
      <c r="N83" s="278">
        <v>2038</v>
      </c>
      <c r="O83" s="141">
        <v>3.2774672485227798</v>
      </c>
      <c r="P83" s="141">
        <v>3.1579102285051102</v>
      </c>
      <c r="Q83" s="141">
        <v>3.8884235891694532</v>
      </c>
      <c r="R83" s="141">
        <v>5.2076463961021817</v>
      </c>
      <c r="S83" s="141">
        <v>4.957365601504419</v>
      </c>
      <c r="T83" s="141">
        <v>4.603786635107407</v>
      </c>
      <c r="U83" s="141">
        <v>3.7909615441746132</v>
      </c>
      <c r="V83" s="141">
        <v>3.0510997622862659</v>
      </c>
      <c r="W83" s="141">
        <v>3.9424809126064169</v>
      </c>
      <c r="X83" s="141">
        <v>3.8711686984288232</v>
      </c>
      <c r="Y83" s="141">
        <v>3.9981090397602048</v>
      </c>
      <c r="Z83" s="141">
        <v>3.4264222451668469</v>
      </c>
      <c r="AI83" s="50" t="s">
        <v>16</v>
      </c>
      <c r="AJ83" s="271" t="s">
        <v>599</v>
      </c>
      <c r="AK83" s="337" t="s">
        <v>198</v>
      </c>
      <c r="AL83" s="129">
        <v>0</v>
      </c>
      <c r="AM83" s="129">
        <v>0</v>
      </c>
      <c r="AN83" s="129">
        <v>0</v>
      </c>
      <c r="AO83" s="129">
        <v>0</v>
      </c>
      <c r="AP83" s="129">
        <v>0</v>
      </c>
      <c r="AQ83" s="129">
        <v>0</v>
      </c>
      <c r="AR83" s="129">
        <v>0</v>
      </c>
      <c r="AS83" s="129">
        <v>0</v>
      </c>
      <c r="AT83" s="129">
        <v>0</v>
      </c>
      <c r="AU83" s="129">
        <v>0</v>
      </c>
      <c r="AV83" s="129">
        <v>0</v>
      </c>
      <c r="AW83" s="129">
        <v>0</v>
      </c>
    </row>
    <row r="84" spans="1:49" x14ac:dyDescent="0.3">
      <c r="A84" s="279">
        <v>2039</v>
      </c>
      <c r="B84" s="134">
        <v>540</v>
      </c>
      <c r="C84" s="134">
        <v>480</v>
      </c>
      <c r="D84" s="134">
        <v>1300</v>
      </c>
      <c r="E84" s="134">
        <v>1360</v>
      </c>
      <c r="F84" s="134">
        <v>1200</v>
      </c>
      <c r="G84" s="134">
        <v>1160</v>
      </c>
      <c r="H84" s="134">
        <v>570</v>
      </c>
      <c r="I84" s="134">
        <v>1040</v>
      </c>
      <c r="J84" s="134">
        <v>1800</v>
      </c>
      <c r="K84" s="134">
        <v>1019.9999999999999</v>
      </c>
      <c r="L84" s="134">
        <v>1180</v>
      </c>
      <c r="M84" s="134">
        <v>380</v>
      </c>
      <c r="N84" s="278">
        <v>2039</v>
      </c>
      <c r="O84" s="141">
        <v>3.6392334812295042</v>
      </c>
      <c r="P84" s="141">
        <v>3.4165826792527398</v>
      </c>
      <c r="Q84" s="141">
        <v>4.5258916492438992</v>
      </c>
      <c r="R84" s="141">
        <v>4.4866150289918103</v>
      </c>
      <c r="S84" s="141">
        <v>5.3182586310651834</v>
      </c>
      <c r="T84" s="141">
        <v>4.2460214844023447</v>
      </c>
      <c r="U84" s="141">
        <v>4.1780319526398459</v>
      </c>
      <c r="V84" s="141">
        <v>3.696647177586728</v>
      </c>
      <c r="W84" s="141">
        <v>4.2118368917823474</v>
      </c>
      <c r="X84" s="141">
        <v>4.5203828976085463</v>
      </c>
      <c r="Y84" s="141">
        <v>3.6591020718228</v>
      </c>
      <c r="Z84" s="141">
        <v>3.405763301206886</v>
      </c>
      <c r="AI84" s="50" t="s">
        <v>16</v>
      </c>
      <c r="AJ84" s="271" t="s">
        <v>599</v>
      </c>
      <c r="AK84" s="337" t="s">
        <v>190</v>
      </c>
      <c r="AL84" s="129">
        <v>0</v>
      </c>
      <c r="AM84" s="129">
        <v>0</v>
      </c>
      <c r="AN84" s="129">
        <v>0</v>
      </c>
      <c r="AO84" s="129">
        <v>0</v>
      </c>
      <c r="AP84" s="129">
        <v>0</v>
      </c>
      <c r="AQ84" s="129">
        <v>0</v>
      </c>
      <c r="AR84" s="129">
        <v>0</v>
      </c>
      <c r="AS84" s="129">
        <v>0</v>
      </c>
      <c r="AT84" s="129">
        <v>0</v>
      </c>
      <c r="AU84" s="129">
        <v>0</v>
      </c>
      <c r="AV84" s="129">
        <v>0</v>
      </c>
      <c r="AW84" s="129">
        <v>0</v>
      </c>
    </row>
    <row r="85" spans="1:49" x14ac:dyDescent="0.3">
      <c r="A85" s="279">
        <v>2040</v>
      </c>
      <c r="B85" s="134">
        <v>540</v>
      </c>
      <c r="C85" s="134">
        <v>480</v>
      </c>
      <c r="D85" s="134">
        <v>1300</v>
      </c>
      <c r="E85" s="134">
        <v>1360</v>
      </c>
      <c r="F85" s="134">
        <v>1200</v>
      </c>
      <c r="G85" s="134">
        <v>1160</v>
      </c>
      <c r="H85" s="134">
        <v>570</v>
      </c>
      <c r="I85" s="134">
        <v>1040</v>
      </c>
      <c r="J85" s="134">
        <v>1800</v>
      </c>
      <c r="K85" s="134">
        <v>1019.9999999999999</v>
      </c>
      <c r="L85" s="134">
        <v>1180</v>
      </c>
      <c r="M85" s="134">
        <v>380</v>
      </c>
      <c r="N85" s="278">
        <v>2040</v>
      </c>
      <c r="O85" s="141">
        <v>3.200514062513669</v>
      </c>
      <c r="P85" s="141">
        <v>3.272624294662958</v>
      </c>
      <c r="Q85" s="141">
        <v>3.8242992377346789</v>
      </c>
      <c r="R85" s="141">
        <v>5.2186307794935241</v>
      </c>
      <c r="S85" s="141">
        <v>5.7613605223766244</v>
      </c>
      <c r="T85" s="141">
        <v>5.2088120371993227</v>
      </c>
      <c r="U85" s="141">
        <v>3.7469499999174789</v>
      </c>
      <c r="V85" s="141">
        <v>3.7446193586190759</v>
      </c>
      <c r="W85" s="141">
        <v>3.408776071643322</v>
      </c>
      <c r="X85" s="141">
        <v>3.7004648202423711</v>
      </c>
      <c r="Y85" s="141">
        <v>3.697488557803331</v>
      </c>
      <c r="Z85" s="141">
        <v>3.229431470199275</v>
      </c>
      <c r="AI85" s="50" t="s">
        <v>16</v>
      </c>
      <c r="AJ85" s="271" t="s">
        <v>600</v>
      </c>
      <c r="AK85" s="337" t="s">
        <v>206</v>
      </c>
      <c r="AL85" s="129">
        <v>0</v>
      </c>
      <c r="AM85" s="129">
        <v>0</v>
      </c>
      <c r="AN85" s="129">
        <v>0</v>
      </c>
      <c r="AO85" s="129">
        <v>0</v>
      </c>
      <c r="AP85" s="129">
        <v>0</v>
      </c>
      <c r="AQ85" s="129">
        <v>0</v>
      </c>
      <c r="AR85" s="129">
        <v>0</v>
      </c>
      <c r="AS85" s="129">
        <v>0</v>
      </c>
      <c r="AT85" s="129">
        <v>0</v>
      </c>
      <c r="AU85" s="129">
        <v>0</v>
      </c>
      <c r="AV85" s="129">
        <v>0</v>
      </c>
      <c r="AW85" s="129">
        <v>0</v>
      </c>
    </row>
    <row r="86" spans="1:49" x14ac:dyDescent="0.3">
      <c r="A86" s="279">
        <v>2041</v>
      </c>
      <c r="B86" s="134">
        <v>540</v>
      </c>
      <c r="C86" s="134">
        <v>480</v>
      </c>
      <c r="D86" s="134">
        <v>1300</v>
      </c>
      <c r="E86" s="134">
        <v>1360</v>
      </c>
      <c r="F86" s="134">
        <v>1200</v>
      </c>
      <c r="G86" s="134">
        <v>1160</v>
      </c>
      <c r="H86" s="134">
        <v>570</v>
      </c>
      <c r="I86" s="134">
        <v>1040</v>
      </c>
      <c r="J86" s="134">
        <v>1800</v>
      </c>
      <c r="K86" s="134">
        <v>1019.9999999999999</v>
      </c>
      <c r="L86" s="134">
        <v>1180</v>
      </c>
      <c r="M86" s="134">
        <v>380</v>
      </c>
      <c r="N86" s="278">
        <v>2041</v>
      </c>
      <c r="O86" s="141">
        <v>3.6188339197649309</v>
      </c>
      <c r="P86" s="141">
        <v>3.707822256083996</v>
      </c>
      <c r="Q86" s="141">
        <v>3.74772612262782</v>
      </c>
      <c r="R86" s="141">
        <v>4.9723962357421314</v>
      </c>
      <c r="S86" s="141">
        <v>5.0638435116139471</v>
      </c>
      <c r="T86" s="141">
        <v>4.385194713376543</v>
      </c>
      <c r="U86" s="141">
        <v>4.0398298251994644</v>
      </c>
      <c r="V86" s="141">
        <v>3.6048565954773979</v>
      </c>
      <c r="W86" s="141">
        <v>3.4256706511190131</v>
      </c>
      <c r="X86" s="141">
        <v>3.6984644252349819</v>
      </c>
      <c r="Y86" s="141">
        <v>3.3592288523471949</v>
      </c>
      <c r="Z86" s="141">
        <v>3.1649511555178251</v>
      </c>
      <c r="AI86" s="50" t="s">
        <v>16</v>
      </c>
      <c r="AJ86" s="271" t="s">
        <v>600</v>
      </c>
      <c r="AK86" s="337" t="s">
        <v>198</v>
      </c>
      <c r="AL86" s="129">
        <v>0</v>
      </c>
      <c r="AM86" s="129">
        <v>0</v>
      </c>
      <c r="AN86" s="129">
        <v>0</v>
      </c>
      <c r="AO86" s="129">
        <v>0</v>
      </c>
      <c r="AP86" s="129">
        <v>0</v>
      </c>
      <c r="AQ86" s="129">
        <v>0</v>
      </c>
      <c r="AR86" s="129">
        <v>0</v>
      </c>
      <c r="AS86" s="129">
        <v>0</v>
      </c>
      <c r="AT86" s="129">
        <v>0</v>
      </c>
      <c r="AU86" s="129">
        <v>0</v>
      </c>
      <c r="AV86" s="129">
        <v>0</v>
      </c>
      <c r="AW86" s="129">
        <v>0</v>
      </c>
    </row>
    <row r="87" spans="1:49" x14ac:dyDescent="0.3">
      <c r="A87" s="279">
        <v>2042</v>
      </c>
      <c r="B87" s="134">
        <v>540</v>
      </c>
      <c r="C87" s="134">
        <v>480</v>
      </c>
      <c r="D87" s="134">
        <v>1300</v>
      </c>
      <c r="E87" s="134">
        <v>1360</v>
      </c>
      <c r="F87" s="134">
        <v>1200</v>
      </c>
      <c r="G87" s="134">
        <v>1160</v>
      </c>
      <c r="H87" s="134">
        <v>570</v>
      </c>
      <c r="I87" s="134">
        <v>1040</v>
      </c>
      <c r="J87" s="134">
        <v>1800</v>
      </c>
      <c r="K87" s="134">
        <v>1019.9999999999999</v>
      </c>
      <c r="L87" s="134">
        <v>1180</v>
      </c>
      <c r="M87" s="134">
        <v>380</v>
      </c>
      <c r="N87" s="278">
        <v>2042</v>
      </c>
      <c r="O87" s="141">
        <v>2.4943972880845311</v>
      </c>
      <c r="P87" s="141">
        <v>3.8334090310669859</v>
      </c>
      <c r="Q87" s="141">
        <v>4.6216473082629053</v>
      </c>
      <c r="R87" s="141">
        <v>4.0339304692346234</v>
      </c>
      <c r="S87" s="141">
        <v>5.9211670820062228</v>
      </c>
      <c r="T87" s="141">
        <v>4.4115535992952886</v>
      </c>
      <c r="U87" s="141">
        <v>3.499398787962384</v>
      </c>
      <c r="V87" s="141">
        <v>2.6783286195276581</v>
      </c>
      <c r="W87" s="141">
        <v>3.7086892754163192</v>
      </c>
      <c r="X87" s="141">
        <v>3.754974349414181</v>
      </c>
      <c r="Y87" s="141">
        <v>3.6972988578916781</v>
      </c>
      <c r="Z87" s="141">
        <v>3.3763769069797509</v>
      </c>
      <c r="AI87" s="50" t="s">
        <v>16</v>
      </c>
      <c r="AJ87" s="271" t="s">
        <v>600</v>
      </c>
      <c r="AK87" s="337" t="s">
        <v>190</v>
      </c>
      <c r="AL87" s="129">
        <v>0</v>
      </c>
      <c r="AM87" s="129">
        <v>0</v>
      </c>
      <c r="AN87" s="129">
        <v>0</v>
      </c>
      <c r="AO87" s="129">
        <v>0</v>
      </c>
      <c r="AP87" s="129">
        <v>0</v>
      </c>
      <c r="AQ87" s="129">
        <v>0</v>
      </c>
      <c r="AR87" s="129">
        <v>0</v>
      </c>
      <c r="AS87" s="129">
        <v>0</v>
      </c>
      <c r="AT87" s="129">
        <v>0</v>
      </c>
      <c r="AU87" s="129">
        <v>0</v>
      </c>
      <c r="AV87" s="129">
        <v>0</v>
      </c>
      <c r="AW87" s="129">
        <v>0</v>
      </c>
    </row>
    <row r="88" spans="1:49" x14ac:dyDescent="0.3">
      <c r="A88" s="279">
        <v>2043</v>
      </c>
      <c r="B88" s="134">
        <v>540</v>
      </c>
      <c r="C88" s="134">
        <v>480</v>
      </c>
      <c r="D88" s="134">
        <v>1300</v>
      </c>
      <c r="E88" s="134">
        <v>1360</v>
      </c>
      <c r="F88" s="134">
        <v>1200</v>
      </c>
      <c r="G88" s="134">
        <v>1160</v>
      </c>
      <c r="H88" s="134">
        <v>570</v>
      </c>
      <c r="I88" s="134">
        <v>1040</v>
      </c>
      <c r="J88" s="134">
        <v>1800</v>
      </c>
      <c r="K88" s="134">
        <v>1019.9999999999999</v>
      </c>
      <c r="L88" s="134">
        <v>1180</v>
      </c>
      <c r="M88" s="134">
        <v>380</v>
      </c>
      <c r="N88" s="278">
        <v>2043</v>
      </c>
      <c r="O88" s="141">
        <v>3.356583690991036</v>
      </c>
      <c r="P88" s="141">
        <v>3.6502076393817879</v>
      </c>
      <c r="Q88" s="141">
        <v>4.0288234351288352</v>
      </c>
      <c r="R88" s="141">
        <v>4.9052205702084368</v>
      </c>
      <c r="S88" s="141">
        <v>4.4722035154228497</v>
      </c>
      <c r="T88" s="141">
        <v>4.6677252915595773</v>
      </c>
      <c r="U88" s="141">
        <v>3.7351215381454148</v>
      </c>
      <c r="V88" s="141">
        <v>2.751555981967662</v>
      </c>
      <c r="W88" s="141">
        <v>4.1298977328549293</v>
      </c>
      <c r="X88" s="141">
        <v>4.3597399954281126</v>
      </c>
      <c r="Y88" s="141">
        <v>3.4241253734585348</v>
      </c>
      <c r="Z88" s="141">
        <v>3.2204140014832459</v>
      </c>
      <c r="AI88" s="50" t="s">
        <v>16</v>
      </c>
      <c r="AJ88" s="271" t="s">
        <v>601</v>
      </c>
      <c r="AK88" s="337" t="s">
        <v>206</v>
      </c>
      <c r="AL88" s="129">
        <v>0</v>
      </c>
      <c r="AM88" s="129">
        <v>0</v>
      </c>
      <c r="AN88" s="129">
        <v>0</v>
      </c>
      <c r="AO88" s="129">
        <v>0</v>
      </c>
      <c r="AP88" s="129">
        <v>0</v>
      </c>
      <c r="AQ88" s="129">
        <v>0</v>
      </c>
      <c r="AR88" s="129">
        <v>0</v>
      </c>
      <c r="AS88" s="129">
        <v>0</v>
      </c>
      <c r="AT88" s="129">
        <v>0</v>
      </c>
      <c r="AU88" s="129">
        <v>0</v>
      </c>
      <c r="AV88" s="129">
        <v>0</v>
      </c>
      <c r="AW88" s="129">
        <v>0</v>
      </c>
    </row>
    <row r="89" spans="1:49" x14ac:dyDescent="0.3">
      <c r="A89" s="279">
        <v>2044</v>
      </c>
      <c r="B89" s="134">
        <v>540</v>
      </c>
      <c r="C89" s="134">
        <v>480</v>
      </c>
      <c r="D89" s="134">
        <v>1300</v>
      </c>
      <c r="E89" s="134">
        <v>1360</v>
      </c>
      <c r="F89" s="134">
        <v>1200</v>
      </c>
      <c r="G89" s="134">
        <v>1160</v>
      </c>
      <c r="H89" s="134">
        <v>570</v>
      </c>
      <c r="I89" s="134">
        <v>1040</v>
      </c>
      <c r="J89" s="134">
        <v>1800</v>
      </c>
      <c r="K89" s="134">
        <v>1019.9999999999999</v>
      </c>
      <c r="L89" s="134">
        <v>1180</v>
      </c>
      <c r="M89" s="134">
        <v>380</v>
      </c>
      <c r="N89" s="278">
        <v>2044</v>
      </c>
      <c r="O89" s="141">
        <v>2.9938831107174502</v>
      </c>
      <c r="P89" s="141">
        <v>2.4883531299833912</v>
      </c>
      <c r="Q89" s="141">
        <v>3.706558282716955</v>
      </c>
      <c r="R89" s="141">
        <v>4.2317010647576447</v>
      </c>
      <c r="S89" s="141">
        <v>5.3001675456087849</v>
      </c>
      <c r="T89" s="141">
        <v>4.6825776479900272</v>
      </c>
      <c r="U89" s="141">
        <v>4.3211741171914388</v>
      </c>
      <c r="V89" s="141">
        <v>3.2921664613364312</v>
      </c>
      <c r="W89" s="141">
        <v>3.9740903367789531</v>
      </c>
      <c r="X89" s="141">
        <v>4.0073851009174346</v>
      </c>
      <c r="Y89" s="141">
        <v>3.2720912599211829</v>
      </c>
      <c r="Z89" s="141">
        <v>3.046161150515053</v>
      </c>
      <c r="AI89" s="50" t="s">
        <v>16</v>
      </c>
      <c r="AJ89" s="271" t="s">
        <v>601</v>
      </c>
      <c r="AK89" s="337" t="s">
        <v>198</v>
      </c>
      <c r="AL89" s="129">
        <v>0</v>
      </c>
      <c r="AM89" s="129">
        <v>0</v>
      </c>
      <c r="AN89" s="129">
        <v>0</v>
      </c>
      <c r="AO89" s="129">
        <v>0</v>
      </c>
      <c r="AP89" s="129">
        <v>0</v>
      </c>
      <c r="AQ89" s="129">
        <v>0</v>
      </c>
      <c r="AR89" s="129">
        <v>0</v>
      </c>
      <c r="AS89" s="129">
        <v>0</v>
      </c>
      <c r="AT89" s="129">
        <v>0</v>
      </c>
      <c r="AU89" s="129">
        <v>0</v>
      </c>
      <c r="AV89" s="129">
        <v>0</v>
      </c>
      <c r="AW89" s="129">
        <v>0</v>
      </c>
    </row>
    <row r="90" spans="1:49" x14ac:dyDescent="0.3">
      <c r="A90" s="279">
        <v>2045</v>
      </c>
      <c r="B90" s="134">
        <v>540</v>
      </c>
      <c r="C90" s="134">
        <v>480</v>
      </c>
      <c r="D90" s="134">
        <v>1300</v>
      </c>
      <c r="E90" s="134">
        <v>1360</v>
      </c>
      <c r="F90" s="134">
        <v>1200</v>
      </c>
      <c r="G90" s="134">
        <v>1160</v>
      </c>
      <c r="H90" s="134">
        <v>570</v>
      </c>
      <c r="I90" s="134">
        <v>1040</v>
      </c>
      <c r="J90" s="134">
        <v>1800</v>
      </c>
      <c r="K90" s="134">
        <v>1019.9999999999999</v>
      </c>
      <c r="L90" s="134">
        <v>1180</v>
      </c>
      <c r="M90" s="134">
        <v>380</v>
      </c>
      <c r="N90" s="278">
        <v>2045</v>
      </c>
      <c r="O90" s="141">
        <v>2.9651650575587158</v>
      </c>
      <c r="P90" s="141">
        <v>2.953229602370421</v>
      </c>
      <c r="Q90" s="141">
        <v>4.901023110237734</v>
      </c>
      <c r="R90" s="141">
        <v>5.376402890792078</v>
      </c>
      <c r="S90" s="141">
        <v>5.6841495112526319</v>
      </c>
      <c r="T90" s="141">
        <v>4.9724563579632139</v>
      </c>
      <c r="U90" s="141">
        <v>3.457086146359766</v>
      </c>
      <c r="V90" s="141">
        <v>3.4000677289447898</v>
      </c>
      <c r="W90" s="141">
        <v>3.698115712319356</v>
      </c>
      <c r="X90" s="141">
        <v>4.1165954139303622</v>
      </c>
      <c r="Y90" s="141">
        <v>3.8935923709337299</v>
      </c>
      <c r="Z90" s="141">
        <v>3.420138090141958</v>
      </c>
      <c r="AI90" s="50" t="s">
        <v>16</v>
      </c>
      <c r="AJ90" s="271" t="s">
        <v>601</v>
      </c>
      <c r="AK90" s="337" t="s">
        <v>190</v>
      </c>
      <c r="AL90" s="129">
        <v>0</v>
      </c>
      <c r="AM90" s="129">
        <v>0</v>
      </c>
      <c r="AN90" s="129">
        <v>0</v>
      </c>
      <c r="AO90" s="129">
        <v>0</v>
      </c>
      <c r="AP90" s="129">
        <v>0</v>
      </c>
      <c r="AQ90" s="129">
        <v>0</v>
      </c>
      <c r="AR90" s="129">
        <v>0</v>
      </c>
      <c r="AS90" s="129">
        <v>0</v>
      </c>
      <c r="AT90" s="129">
        <v>0</v>
      </c>
      <c r="AU90" s="129">
        <v>0</v>
      </c>
      <c r="AV90" s="129">
        <v>0</v>
      </c>
      <c r="AW90" s="129">
        <v>0</v>
      </c>
    </row>
    <row r="91" spans="1:49" x14ac:dyDescent="0.3">
      <c r="A91" s="279">
        <v>2046</v>
      </c>
      <c r="B91" s="134">
        <v>540</v>
      </c>
      <c r="C91" s="134">
        <v>480</v>
      </c>
      <c r="D91" s="134">
        <v>1300</v>
      </c>
      <c r="E91" s="134">
        <v>1360</v>
      </c>
      <c r="F91" s="134">
        <v>1200</v>
      </c>
      <c r="G91" s="134">
        <v>1160</v>
      </c>
      <c r="H91" s="134">
        <v>570</v>
      </c>
      <c r="I91" s="134">
        <v>1040</v>
      </c>
      <c r="J91" s="134">
        <v>1800</v>
      </c>
      <c r="K91" s="134">
        <v>1019.9999999999999</v>
      </c>
      <c r="L91" s="134">
        <v>1180</v>
      </c>
      <c r="M91" s="134">
        <v>380</v>
      </c>
      <c r="N91" s="278">
        <v>2046</v>
      </c>
      <c r="O91" s="141">
        <v>3.1466388394367848</v>
      </c>
      <c r="P91" s="141">
        <v>3.8174726218228132</v>
      </c>
      <c r="Q91" s="141">
        <v>3.9284661030096641</v>
      </c>
      <c r="R91" s="141">
        <v>4.8350219729874704</v>
      </c>
      <c r="S91" s="141">
        <v>5.1965533375345592</v>
      </c>
      <c r="T91" s="141">
        <v>5.182733944028401</v>
      </c>
      <c r="U91" s="141">
        <v>3.8966616214532039</v>
      </c>
      <c r="V91" s="141">
        <v>3.2965808926536071</v>
      </c>
      <c r="W91" s="141">
        <v>3.3435625210098272</v>
      </c>
      <c r="X91" s="141">
        <v>3.5916437301738449</v>
      </c>
      <c r="Y91" s="141">
        <v>3.4583189299246579</v>
      </c>
      <c r="Z91" s="141">
        <v>3.6514300122203731</v>
      </c>
      <c r="AI91" s="50" t="s">
        <v>16</v>
      </c>
      <c r="AJ91" s="271" t="s">
        <v>602</v>
      </c>
      <c r="AK91" s="337" t="s">
        <v>206</v>
      </c>
      <c r="AL91" s="129">
        <v>0</v>
      </c>
      <c r="AM91" s="129">
        <v>0</v>
      </c>
      <c r="AN91" s="129">
        <v>0</v>
      </c>
      <c r="AO91" s="129">
        <v>0</v>
      </c>
      <c r="AP91" s="129">
        <v>0</v>
      </c>
      <c r="AQ91" s="129">
        <v>0</v>
      </c>
      <c r="AR91" s="129">
        <v>0</v>
      </c>
      <c r="AS91" s="129">
        <v>0</v>
      </c>
      <c r="AT91" s="129">
        <v>0</v>
      </c>
      <c r="AU91" s="129">
        <v>0</v>
      </c>
      <c r="AV91" s="129">
        <v>0</v>
      </c>
      <c r="AW91" s="129">
        <v>0</v>
      </c>
    </row>
    <row r="92" spans="1:49" x14ac:dyDescent="0.3">
      <c r="A92" s="279">
        <v>2047</v>
      </c>
      <c r="B92" s="134">
        <v>540</v>
      </c>
      <c r="C92" s="134">
        <v>480</v>
      </c>
      <c r="D92" s="134">
        <v>1300</v>
      </c>
      <c r="E92" s="134">
        <v>1360</v>
      </c>
      <c r="F92" s="134">
        <v>1200</v>
      </c>
      <c r="G92" s="134">
        <v>1160</v>
      </c>
      <c r="H92" s="134">
        <v>570</v>
      </c>
      <c r="I92" s="134">
        <v>1040</v>
      </c>
      <c r="J92" s="134">
        <v>1800</v>
      </c>
      <c r="K92" s="134">
        <v>1019.9999999999999</v>
      </c>
      <c r="L92" s="134">
        <v>1180</v>
      </c>
      <c r="M92" s="134">
        <v>380</v>
      </c>
      <c r="N92" s="278">
        <v>2047</v>
      </c>
      <c r="O92" s="141">
        <v>3.1535625124561268</v>
      </c>
      <c r="P92" s="141">
        <v>3.799942376164497</v>
      </c>
      <c r="Q92" s="141">
        <v>4.4061775163725647</v>
      </c>
      <c r="R92" s="141">
        <v>4.4262260894835261</v>
      </c>
      <c r="S92" s="141">
        <v>4.4292900561976669</v>
      </c>
      <c r="T92" s="141">
        <v>4.7913152296255204</v>
      </c>
      <c r="U92" s="141">
        <v>3.7446209616041402</v>
      </c>
      <c r="V92" s="141">
        <v>3.0928629433360859</v>
      </c>
      <c r="W92" s="141">
        <v>3.7049196651694238</v>
      </c>
      <c r="X92" s="141">
        <v>4.1681488586230664</v>
      </c>
      <c r="Y92" s="141">
        <v>4.1189549710382432</v>
      </c>
      <c r="Z92" s="141">
        <v>3.3274747363474839</v>
      </c>
      <c r="AI92" s="50" t="s">
        <v>16</v>
      </c>
      <c r="AJ92" s="271" t="s">
        <v>602</v>
      </c>
      <c r="AK92" s="337" t="s">
        <v>198</v>
      </c>
      <c r="AL92" s="129">
        <v>0</v>
      </c>
      <c r="AM92" s="129">
        <v>0</v>
      </c>
      <c r="AN92" s="129">
        <v>0</v>
      </c>
      <c r="AO92" s="129">
        <v>0</v>
      </c>
      <c r="AP92" s="129">
        <v>0</v>
      </c>
      <c r="AQ92" s="129">
        <v>0</v>
      </c>
      <c r="AR92" s="129">
        <v>0</v>
      </c>
      <c r="AS92" s="129">
        <v>0</v>
      </c>
      <c r="AT92" s="129">
        <v>0</v>
      </c>
      <c r="AU92" s="129">
        <v>0</v>
      </c>
      <c r="AV92" s="129">
        <v>0</v>
      </c>
      <c r="AW92" s="129">
        <v>0</v>
      </c>
    </row>
    <row r="93" spans="1:49" x14ac:dyDescent="0.3">
      <c r="A93" s="279">
        <v>2048</v>
      </c>
      <c r="B93" s="134">
        <v>540</v>
      </c>
      <c r="C93" s="134">
        <v>480</v>
      </c>
      <c r="D93" s="134">
        <v>1300</v>
      </c>
      <c r="E93" s="134">
        <v>1360</v>
      </c>
      <c r="F93" s="134">
        <v>1200</v>
      </c>
      <c r="G93" s="134">
        <v>1160</v>
      </c>
      <c r="H93" s="134">
        <v>570</v>
      </c>
      <c r="I93" s="134">
        <v>1040</v>
      </c>
      <c r="J93" s="134">
        <v>1800</v>
      </c>
      <c r="K93" s="134">
        <v>1019.9999999999999</v>
      </c>
      <c r="L93" s="134">
        <v>1180</v>
      </c>
      <c r="M93" s="134">
        <v>380</v>
      </c>
      <c r="N93" s="278">
        <v>2048</v>
      </c>
      <c r="O93" s="141">
        <v>3.3191258460077009</v>
      </c>
      <c r="P93" s="141">
        <v>3.417483061920684</v>
      </c>
      <c r="Q93" s="141">
        <v>3.6639072742083911</v>
      </c>
      <c r="R93" s="141">
        <v>4.2877837192823076</v>
      </c>
      <c r="S93" s="141">
        <v>5.4644072159125541</v>
      </c>
      <c r="T93" s="141">
        <v>5.3111752215471224</v>
      </c>
      <c r="U93" s="141">
        <v>3.9461416270633909</v>
      </c>
      <c r="V93" s="141">
        <v>3.807317221417148</v>
      </c>
      <c r="W93" s="141">
        <v>3.723560723412116</v>
      </c>
      <c r="X93" s="141">
        <v>3.7105653560408021</v>
      </c>
      <c r="Y93" s="141">
        <v>4.1017843185212373</v>
      </c>
      <c r="Z93" s="141">
        <v>3.3281338458012399</v>
      </c>
      <c r="AI93" s="50" t="s">
        <v>16</v>
      </c>
      <c r="AJ93" s="271" t="s">
        <v>602</v>
      </c>
      <c r="AK93" s="337" t="s">
        <v>190</v>
      </c>
      <c r="AL93" s="129">
        <v>0</v>
      </c>
      <c r="AM93" s="129">
        <v>0</v>
      </c>
      <c r="AN93" s="129">
        <v>0</v>
      </c>
      <c r="AO93" s="129">
        <v>0</v>
      </c>
      <c r="AP93" s="129">
        <v>0</v>
      </c>
      <c r="AQ93" s="129">
        <v>0</v>
      </c>
      <c r="AR93" s="129">
        <v>0</v>
      </c>
      <c r="AS93" s="129">
        <v>0</v>
      </c>
      <c r="AT93" s="129">
        <v>0</v>
      </c>
      <c r="AU93" s="129">
        <v>0</v>
      </c>
      <c r="AV93" s="129">
        <v>0</v>
      </c>
      <c r="AW93" s="129">
        <v>0</v>
      </c>
    </row>
    <row r="94" spans="1:49" x14ac:dyDescent="0.3">
      <c r="A94" s="279">
        <v>2049</v>
      </c>
      <c r="B94" s="134">
        <v>540</v>
      </c>
      <c r="C94" s="134">
        <v>480</v>
      </c>
      <c r="D94" s="134">
        <v>1300</v>
      </c>
      <c r="E94" s="134">
        <v>1360</v>
      </c>
      <c r="F94" s="134">
        <v>1200</v>
      </c>
      <c r="G94" s="134">
        <v>1160</v>
      </c>
      <c r="H94" s="134">
        <v>570</v>
      </c>
      <c r="I94" s="134">
        <v>1040</v>
      </c>
      <c r="J94" s="134">
        <v>1800</v>
      </c>
      <c r="K94" s="134">
        <v>1019.9999999999999</v>
      </c>
      <c r="L94" s="134">
        <v>1180</v>
      </c>
      <c r="M94" s="134">
        <v>380</v>
      </c>
      <c r="N94" s="278">
        <v>2049</v>
      </c>
      <c r="O94" s="141">
        <v>3.385587833308267</v>
      </c>
      <c r="P94" s="141">
        <v>3.992627543199665</v>
      </c>
      <c r="Q94" s="141">
        <v>4.0195894944296784</v>
      </c>
      <c r="R94" s="141">
        <v>5.1276424363221196</v>
      </c>
      <c r="S94" s="141">
        <v>4.3232646464641649</v>
      </c>
      <c r="T94" s="141">
        <v>4.8185780641561644</v>
      </c>
      <c r="U94" s="141">
        <v>4.105488179529579</v>
      </c>
      <c r="V94" s="141">
        <v>3.060919685543364</v>
      </c>
      <c r="W94" s="141">
        <v>3.970940476764468</v>
      </c>
      <c r="X94" s="141">
        <v>3.387812988363093</v>
      </c>
      <c r="Y94" s="141">
        <v>3.4233973363051549</v>
      </c>
      <c r="Z94" s="141">
        <v>3.2690697699789339</v>
      </c>
      <c r="AI94" s="50" t="s">
        <v>16</v>
      </c>
      <c r="AJ94" s="271" t="s">
        <v>603</v>
      </c>
      <c r="AK94" s="337" t="s">
        <v>206</v>
      </c>
      <c r="AL94" s="129">
        <v>0</v>
      </c>
      <c r="AM94" s="129">
        <v>0</v>
      </c>
      <c r="AN94" s="129">
        <v>0</v>
      </c>
      <c r="AO94" s="129">
        <v>0</v>
      </c>
      <c r="AP94" s="129">
        <v>0</v>
      </c>
      <c r="AQ94" s="129">
        <v>0</v>
      </c>
      <c r="AR94" s="129">
        <v>0</v>
      </c>
      <c r="AS94" s="129">
        <v>0</v>
      </c>
      <c r="AT94" s="129">
        <v>0</v>
      </c>
      <c r="AU94" s="129">
        <v>0</v>
      </c>
      <c r="AV94" s="129">
        <v>0</v>
      </c>
      <c r="AW94" s="129">
        <v>0</v>
      </c>
    </row>
    <row r="95" spans="1:49" x14ac:dyDescent="0.3">
      <c r="A95" s="279">
        <v>2050</v>
      </c>
      <c r="B95" s="134">
        <v>540</v>
      </c>
      <c r="C95" s="134">
        <v>480</v>
      </c>
      <c r="D95" s="134">
        <v>1300</v>
      </c>
      <c r="E95" s="134">
        <v>1360</v>
      </c>
      <c r="F95" s="134">
        <v>1200</v>
      </c>
      <c r="G95" s="134">
        <v>1160</v>
      </c>
      <c r="H95" s="134">
        <v>570</v>
      </c>
      <c r="I95" s="134">
        <v>1040</v>
      </c>
      <c r="J95" s="134">
        <v>1800</v>
      </c>
      <c r="K95" s="134">
        <v>1019.9999999999999</v>
      </c>
      <c r="L95" s="134">
        <v>1180</v>
      </c>
      <c r="M95" s="134">
        <v>380</v>
      </c>
      <c r="N95" s="278">
        <v>2050</v>
      </c>
      <c r="O95" s="141">
        <v>3.6814548997505119</v>
      </c>
      <c r="P95" s="141">
        <v>3.527665605540041</v>
      </c>
      <c r="Q95" s="141">
        <v>3.3928221448720421</v>
      </c>
      <c r="R95" s="141">
        <v>4.5853410493939268</v>
      </c>
      <c r="S95" s="141">
        <v>5.4101750368255201</v>
      </c>
      <c r="T95" s="141">
        <v>4.3736565687331739</v>
      </c>
      <c r="U95" s="141">
        <v>3.295151988844919</v>
      </c>
      <c r="V95" s="141">
        <v>3.5953717742930769</v>
      </c>
      <c r="W95" s="141">
        <v>3.2529587035882521</v>
      </c>
      <c r="X95" s="141">
        <v>3.9284858650034211</v>
      </c>
      <c r="Y95" s="141">
        <v>3.8685919427168698</v>
      </c>
      <c r="Z95" s="141">
        <v>3.7224511277314858</v>
      </c>
      <c r="AI95" s="50" t="s">
        <v>16</v>
      </c>
      <c r="AJ95" s="271" t="s">
        <v>603</v>
      </c>
      <c r="AK95" s="337" t="s">
        <v>198</v>
      </c>
      <c r="AL95" s="129">
        <v>0</v>
      </c>
      <c r="AM95" s="129">
        <v>0</v>
      </c>
      <c r="AN95" s="129">
        <v>0</v>
      </c>
      <c r="AO95" s="129">
        <v>0</v>
      </c>
      <c r="AP95" s="129">
        <v>0</v>
      </c>
      <c r="AQ95" s="129">
        <v>0</v>
      </c>
      <c r="AR95" s="129">
        <v>0</v>
      </c>
      <c r="AS95" s="129">
        <v>0</v>
      </c>
      <c r="AT95" s="129">
        <v>0</v>
      </c>
      <c r="AU95" s="129">
        <v>0</v>
      </c>
      <c r="AV95" s="129">
        <v>0</v>
      </c>
      <c r="AW95" s="129">
        <v>0</v>
      </c>
    </row>
    <row r="96" spans="1:49" x14ac:dyDescent="0.3">
      <c r="AI96" s="50" t="s">
        <v>16</v>
      </c>
      <c r="AJ96" s="271" t="s">
        <v>603</v>
      </c>
      <c r="AK96" s="337" t="s">
        <v>190</v>
      </c>
      <c r="AL96" s="129">
        <v>0</v>
      </c>
      <c r="AM96" s="129">
        <v>0</v>
      </c>
      <c r="AN96" s="129">
        <v>0</v>
      </c>
      <c r="AO96" s="129">
        <v>0</v>
      </c>
      <c r="AP96" s="129">
        <v>0</v>
      </c>
      <c r="AQ96" s="129">
        <v>0</v>
      </c>
      <c r="AR96" s="129">
        <v>0</v>
      </c>
      <c r="AS96" s="129">
        <v>0</v>
      </c>
      <c r="AT96" s="129">
        <v>0</v>
      </c>
      <c r="AU96" s="129">
        <v>0</v>
      </c>
      <c r="AV96" s="129">
        <v>0</v>
      </c>
      <c r="AW96" s="129">
        <v>0</v>
      </c>
    </row>
    <row r="97" spans="35:49" x14ac:dyDescent="0.3">
      <c r="AI97" s="50" t="s">
        <v>16</v>
      </c>
      <c r="AJ97" s="271" t="s">
        <v>604</v>
      </c>
      <c r="AK97" s="337" t="s">
        <v>206</v>
      </c>
      <c r="AL97" s="129">
        <v>0</v>
      </c>
      <c r="AM97" s="129">
        <v>0</v>
      </c>
      <c r="AN97" s="129">
        <v>0</v>
      </c>
      <c r="AO97" s="129">
        <v>0</v>
      </c>
      <c r="AP97" s="129">
        <v>0</v>
      </c>
      <c r="AQ97" s="129">
        <v>0</v>
      </c>
      <c r="AR97" s="129">
        <v>0</v>
      </c>
      <c r="AS97" s="129">
        <v>0</v>
      </c>
      <c r="AT97" s="129">
        <v>0</v>
      </c>
      <c r="AU97" s="129">
        <v>0</v>
      </c>
      <c r="AV97" s="129">
        <v>0</v>
      </c>
      <c r="AW97" s="129">
        <v>0</v>
      </c>
    </row>
    <row r="98" spans="35:49" x14ac:dyDescent="0.3">
      <c r="AI98" s="50" t="s">
        <v>16</v>
      </c>
      <c r="AJ98" s="271" t="s">
        <v>604</v>
      </c>
      <c r="AK98" s="337" t="s">
        <v>198</v>
      </c>
      <c r="AL98" s="129">
        <v>0</v>
      </c>
      <c r="AM98" s="129">
        <v>0</v>
      </c>
      <c r="AN98" s="129">
        <v>0</v>
      </c>
      <c r="AO98" s="129">
        <v>0</v>
      </c>
      <c r="AP98" s="129">
        <v>0</v>
      </c>
      <c r="AQ98" s="129">
        <v>0</v>
      </c>
      <c r="AR98" s="129">
        <v>0</v>
      </c>
      <c r="AS98" s="129">
        <v>0</v>
      </c>
      <c r="AT98" s="129">
        <v>0</v>
      </c>
      <c r="AU98" s="129">
        <v>0</v>
      </c>
      <c r="AV98" s="129">
        <v>0</v>
      </c>
      <c r="AW98" s="129">
        <v>0</v>
      </c>
    </row>
    <row r="99" spans="35:49" x14ac:dyDescent="0.3">
      <c r="AI99" s="50" t="s">
        <v>16</v>
      </c>
      <c r="AJ99" s="271" t="s">
        <v>604</v>
      </c>
      <c r="AK99" s="337" t="s">
        <v>190</v>
      </c>
      <c r="AL99" s="129">
        <v>0</v>
      </c>
      <c r="AM99" s="129">
        <v>0</v>
      </c>
      <c r="AN99" s="129">
        <v>0</v>
      </c>
      <c r="AO99" s="129">
        <v>0</v>
      </c>
      <c r="AP99" s="129">
        <v>0</v>
      </c>
      <c r="AQ99" s="129">
        <v>0</v>
      </c>
      <c r="AR99" s="129">
        <v>0</v>
      </c>
      <c r="AS99" s="129">
        <v>0</v>
      </c>
      <c r="AT99" s="129">
        <v>0</v>
      </c>
      <c r="AU99" s="129">
        <v>0</v>
      </c>
      <c r="AV99" s="129">
        <v>0</v>
      </c>
      <c r="AW99" s="129">
        <v>0</v>
      </c>
    </row>
    <row r="100" spans="35:49" x14ac:dyDescent="0.3">
      <c r="AI100" s="50" t="s">
        <v>16</v>
      </c>
      <c r="AJ100" s="271" t="s">
        <v>584</v>
      </c>
      <c r="AK100" s="337" t="s">
        <v>206</v>
      </c>
      <c r="AL100" s="129">
        <v>0</v>
      </c>
      <c r="AM100" s="129">
        <v>0</v>
      </c>
      <c r="AN100" s="129">
        <v>0</v>
      </c>
      <c r="AO100" s="129">
        <v>0</v>
      </c>
      <c r="AP100" s="129">
        <v>0</v>
      </c>
      <c r="AQ100" s="129">
        <v>0</v>
      </c>
      <c r="AR100" s="129">
        <v>0</v>
      </c>
      <c r="AS100" s="129">
        <v>0</v>
      </c>
      <c r="AT100" s="129">
        <v>0</v>
      </c>
      <c r="AU100" s="129">
        <v>0</v>
      </c>
      <c r="AV100" s="129">
        <v>0</v>
      </c>
      <c r="AW100" s="129">
        <v>0</v>
      </c>
    </row>
    <row r="101" spans="35:49" x14ac:dyDescent="0.3">
      <c r="AI101" s="50" t="s">
        <v>16</v>
      </c>
      <c r="AJ101" s="271" t="s">
        <v>584</v>
      </c>
      <c r="AK101" s="337" t="s">
        <v>198</v>
      </c>
      <c r="AL101" s="129">
        <v>0</v>
      </c>
      <c r="AM101" s="129">
        <v>0</v>
      </c>
      <c r="AN101" s="129">
        <v>0</v>
      </c>
      <c r="AO101" s="129">
        <v>0</v>
      </c>
      <c r="AP101" s="129">
        <v>0</v>
      </c>
      <c r="AQ101" s="129">
        <v>0</v>
      </c>
      <c r="AR101" s="129">
        <v>0</v>
      </c>
      <c r="AS101" s="129">
        <v>0</v>
      </c>
      <c r="AT101" s="129">
        <v>0</v>
      </c>
      <c r="AU101" s="129">
        <v>0</v>
      </c>
      <c r="AV101" s="129">
        <v>0</v>
      </c>
      <c r="AW101" s="129">
        <v>0</v>
      </c>
    </row>
    <row r="102" spans="35:49" x14ac:dyDescent="0.3">
      <c r="AI102" s="50" t="s">
        <v>16</v>
      </c>
      <c r="AJ102" s="271" t="s">
        <v>584</v>
      </c>
      <c r="AK102" s="337" t="s">
        <v>190</v>
      </c>
      <c r="AL102" s="129">
        <v>0</v>
      </c>
      <c r="AM102" s="129">
        <v>0</v>
      </c>
      <c r="AN102" s="129">
        <v>0</v>
      </c>
      <c r="AO102" s="129">
        <v>0</v>
      </c>
      <c r="AP102" s="129">
        <v>0</v>
      </c>
      <c r="AQ102" s="129">
        <v>0</v>
      </c>
      <c r="AR102" s="129">
        <v>0</v>
      </c>
      <c r="AS102" s="129">
        <v>0</v>
      </c>
      <c r="AT102" s="129">
        <v>0</v>
      </c>
      <c r="AU102" s="129">
        <v>0</v>
      </c>
      <c r="AV102" s="129">
        <v>0</v>
      </c>
      <c r="AW102" s="129">
        <v>0</v>
      </c>
    </row>
    <row r="103" spans="35:49" x14ac:dyDescent="0.3">
      <c r="AI103" s="50" t="s">
        <v>16</v>
      </c>
      <c r="AJ103" s="271" t="s">
        <v>589</v>
      </c>
      <c r="AK103" s="337" t="s">
        <v>206</v>
      </c>
      <c r="AL103" s="129">
        <v>0</v>
      </c>
      <c r="AM103" s="129">
        <v>0</v>
      </c>
      <c r="AN103" s="129">
        <v>0</v>
      </c>
      <c r="AO103" s="129">
        <v>0</v>
      </c>
      <c r="AP103" s="129">
        <v>0</v>
      </c>
      <c r="AQ103" s="129">
        <v>0</v>
      </c>
      <c r="AR103" s="129">
        <v>0</v>
      </c>
      <c r="AS103" s="129">
        <v>0</v>
      </c>
      <c r="AT103" s="129">
        <v>0</v>
      </c>
      <c r="AU103" s="129">
        <v>0</v>
      </c>
      <c r="AV103" s="129">
        <v>0</v>
      </c>
      <c r="AW103" s="129">
        <v>0</v>
      </c>
    </row>
    <row r="104" spans="35:49" x14ac:dyDescent="0.3">
      <c r="AI104" s="50" t="s">
        <v>16</v>
      </c>
      <c r="AJ104" s="271" t="s">
        <v>589</v>
      </c>
      <c r="AK104" s="337" t="s">
        <v>198</v>
      </c>
      <c r="AL104" s="129">
        <v>0</v>
      </c>
      <c r="AM104" s="129">
        <v>0</v>
      </c>
      <c r="AN104" s="129">
        <v>0</v>
      </c>
      <c r="AO104" s="129">
        <v>0</v>
      </c>
      <c r="AP104" s="129">
        <v>0</v>
      </c>
      <c r="AQ104" s="129">
        <v>0</v>
      </c>
      <c r="AR104" s="129">
        <v>0</v>
      </c>
      <c r="AS104" s="129">
        <v>0</v>
      </c>
      <c r="AT104" s="129">
        <v>0</v>
      </c>
      <c r="AU104" s="129">
        <v>0</v>
      </c>
      <c r="AV104" s="129">
        <v>0</v>
      </c>
      <c r="AW104" s="129">
        <v>0</v>
      </c>
    </row>
    <row r="105" spans="35:49" x14ac:dyDescent="0.3">
      <c r="AI105" s="50" t="s">
        <v>16</v>
      </c>
      <c r="AJ105" s="271" t="s">
        <v>589</v>
      </c>
      <c r="AK105" s="337" t="s">
        <v>190</v>
      </c>
      <c r="AL105" s="129">
        <v>0</v>
      </c>
      <c r="AM105" s="129">
        <v>0</v>
      </c>
      <c r="AN105" s="129">
        <v>0</v>
      </c>
      <c r="AO105" s="129">
        <v>0</v>
      </c>
      <c r="AP105" s="129">
        <v>0</v>
      </c>
      <c r="AQ105" s="129">
        <v>0</v>
      </c>
      <c r="AR105" s="129">
        <v>0</v>
      </c>
      <c r="AS105" s="129">
        <v>0</v>
      </c>
      <c r="AT105" s="129">
        <v>0</v>
      </c>
      <c r="AU105" s="129">
        <v>0</v>
      </c>
      <c r="AV105" s="129">
        <v>0</v>
      </c>
      <c r="AW105" s="129">
        <v>0</v>
      </c>
    </row>
  </sheetData>
  <mergeCells count="6">
    <mergeCell ref="AX1:AZ1"/>
    <mergeCell ref="AA1:AF1"/>
    <mergeCell ref="N1:Z1"/>
    <mergeCell ref="A1:M1"/>
    <mergeCell ref="AI1:AW1"/>
    <mergeCell ref="AG1:AH1"/>
  </mergeCells>
  <hyperlinks>
    <hyperlink ref="F2" r:id="rId1" xr:uid="{0309C71D-3410-4FC0-8DFD-7C4AC8F867C3}"/>
    <hyperlink ref="O2" r:id="rId2" xr:uid="{E36550FF-0A73-452E-AD59-8416BB25F845}"/>
    <hyperlink ref="AC2" r:id="rId3" location="TopOfPage" display="https://www.fao.org/4/x0490e/x0490e0b.htm#TopOfPage" xr:uid="{02C6A5B4-972D-4ED5-8251-F87A74AE8BF5}"/>
    <hyperlink ref="AE2" r:id="rId4" location="TopOfPage " display="https://www.fao.org/4/x0490e/x0490e0e.htm#TopOfPage " xr:uid="{9F18EEB3-7F0C-4C77-ADFD-B9224AAE289C}"/>
    <hyperlink ref="AF2" r:id="rId5" location="TopOfPage " display="https://www.fao.org/4/x0490e/x0490e0e.htm#TopOfPage " xr:uid="{7CC2527B-54D6-4495-B9AF-184C2B0E6424}"/>
    <hyperlink ref="AD2" r:id="rId6" display="https://www.fao.org/4/i2800e/i2800e.pdf" xr:uid="{C075B3BA-B993-4ABB-A108-394A3B133213}"/>
    <hyperlink ref="AH2" r:id="rId7" xr:uid="{18CC850D-5ACD-4F3F-A071-5F094DAA8F6B}"/>
  </hyperlinks>
  <pageMargins left="0.7" right="0.7" top="0.75" bottom="0.75" header="0.3" footer="0.3"/>
  <pageSetup paperSize="9" orientation="portrait" r:id="rId8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BFB99-45C1-4244-B222-FF6BE34854B4}">
  <dimension ref="A1:AR29"/>
  <sheetViews>
    <sheetView topLeftCell="N1" zoomScale="55" zoomScaleNormal="55" workbookViewId="0">
      <selection activeCell="AB35" sqref="AB35:AB36"/>
    </sheetView>
  </sheetViews>
  <sheetFormatPr baseColWidth="10" defaultColWidth="11.5546875" defaultRowHeight="13.8" x14ac:dyDescent="0.3"/>
  <cols>
    <col min="1" max="1" width="16.5546875" style="130" customWidth="1"/>
    <col min="2" max="2" width="15.88671875" style="1" customWidth="1"/>
    <col min="3" max="3" width="11.5546875" style="115"/>
    <col min="4" max="4" width="16.5546875" style="1" customWidth="1"/>
    <col min="5" max="5" width="16.33203125" style="1" customWidth="1"/>
    <col min="6" max="6" width="11.5546875" style="1"/>
    <col min="7" max="7" width="17.44140625" style="159" customWidth="1"/>
    <col min="8" max="8" width="17.44140625" style="130" customWidth="1"/>
    <col min="9" max="9" width="16.5546875" style="130" customWidth="1"/>
    <col min="10" max="10" width="11.5546875" style="1"/>
    <col min="11" max="11" width="15.88671875" style="115" customWidth="1"/>
    <col min="12" max="12" width="16.5546875" style="130" customWidth="1"/>
    <col min="13" max="13" width="11.5546875" style="1"/>
    <col min="14" max="14" width="11.5546875" style="115"/>
    <col min="15" max="15" width="16.5546875" style="1" customWidth="1"/>
    <col min="16" max="17" width="11.5546875" style="1"/>
    <col min="18" max="18" width="16.6640625" style="1" customWidth="1"/>
    <col min="19" max="19" width="11.5546875" style="130"/>
    <col min="20" max="22" width="11.5546875" style="1"/>
    <col min="23" max="23" width="14.33203125" style="1" customWidth="1"/>
    <col min="24" max="26" width="11.5546875" style="1"/>
    <col min="27" max="27" width="11.5546875" style="115"/>
    <col min="28" max="28" width="11.5546875" style="130"/>
    <col min="29" max="30" width="11.5546875" style="1"/>
    <col min="31" max="31" width="13.33203125" style="318" customWidth="1"/>
    <col min="32" max="32" width="11.5546875" style="130"/>
    <col min="33" max="33" width="16.33203125" style="318" customWidth="1"/>
    <col min="34" max="41" width="11.5546875" style="318"/>
    <col min="42" max="42" width="11.5546875" style="115"/>
    <col min="43" max="16384" width="11.5546875" style="1"/>
  </cols>
  <sheetData>
    <row r="1" spans="1:44" s="312" customFormat="1" ht="28.2" customHeight="1" x14ac:dyDescent="0.3">
      <c r="A1" s="408" t="s">
        <v>582</v>
      </c>
      <c r="B1" s="409"/>
      <c r="C1" s="410"/>
      <c r="D1" s="408" t="s">
        <v>581</v>
      </c>
      <c r="E1" s="409"/>
      <c r="F1" s="410"/>
      <c r="G1" s="164" t="s">
        <v>580</v>
      </c>
      <c r="H1" s="320" t="s">
        <v>579</v>
      </c>
      <c r="I1" s="408" t="s">
        <v>578</v>
      </c>
      <c r="J1" s="409"/>
      <c r="K1" s="410"/>
      <c r="L1" s="408" t="s">
        <v>577</v>
      </c>
      <c r="M1" s="409"/>
      <c r="N1" s="410"/>
      <c r="O1" s="442" t="s">
        <v>576</v>
      </c>
      <c r="P1" s="443"/>
      <c r="Q1" s="443"/>
      <c r="R1" s="444"/>
      <c r="S1" s="408" t="s">
        <v>575</v>
      </c>
      <c r="T1" s="409"/>
      <c r="U1" s="409"/>
      <c r="V1" s="409"/>
      <c r="W1" s="409"/>
      <c r="X1" s="409"/>
      <c r="Y1" s="409"/>
      <c r="Z1" s="409"/>
      <c r="AA1" s="410"/>
      <c r="AB1" s="408" t="s">
        <v>574</v>
      </c>
      <c r="AC1" s="409"/>
      <c r="AD1" s="409"/>
      <c r="AE1" s="410"/>
      <c r="AF1" s="445" t="s">
        <v>573</v>
      </c>
      <c r="AG1" s="445"/>
      <c r="AH1" s="445"/>
      <c r="AI1" s="445"/>
      <c r="AJ1" s="445"/>
      <c r="AK1" s="445"/>
      <c r="AL1" s="445"/>
      <c r="AM1" s="445"/>
      <c r="AN1" s="445"/>
      <c r="AO1" s="445"/>
      <c r="AP1" s="445"/>
    </row>
    <row r="2" spans="1:44" s="312" customFormat="1" ht="31.2" x14ac:dyDescent="0.25">
      <c r="A2" s="317" t="s">
        <v>88</v>
      </c>
      <c r="B2" s="226" t="s">
        <v>89</v>
      </c>
      <c r="C2" s="225" t="s">
        <v>90</v>
      </c>
      <c r="D2" s="316" t="s">
        <v>91</v>
      </c>
      <c r="E2" s="108" t="s">
        <v>92</v>
      </c>
      <c r="G2" s="315"/>
      <c r="H2" s="314"/>
      <c r="I2" s="314"/>
      <c r="K2" s="313"/>
      <c r="L2" s="314"/>
      <c r="N2" s="313"/>
      <c r="S2" s="314"/>
      <c r="T2" s="325"/>
      <c r="U2" s="325"/>
      <c r="V2" s="325"/>
      <c r="W2" s="325"/>
      <c r="X2" s="325"/>
      <c r="Y2" s="325"/>
      <c r="Z2" s="325"/>
      <c r="AA2" s="115"/>
      <c r="AB2" s="314"/>
      <c r="AE2" s="313"/>
      <c r="AF2" s="135"/>
      <c r="AG2" s="135"/>
      <c r="AH2" s="135"/>
      <c r="AI2" s="135"/>
      <c r="AJ2" s="135"/>
      <c r="AK2" s="135"/>
      <c r="AL2" s="135"/>
      <c r="AM2" s="135"/>
      <c r="AN2" s="135"/>
      <c r="AO2" s="135"/>
      <c r="AP2" s="135"/>
    </row>
    <row r="3" spans="1:44" s="222" customFormat="1" ht="41.4" x14ac:dyDescent="0.3">
      <c r="A3" s="25" t="s">
        <v>572</v>
      </c>
      <c r="B3" s="124" t="s">
        <v>565</v>
      </c>
      <c r="C3" s="52" t="s">
        <v>562</v>
      </c>
      <c r="D3" s="124" t="s">
        <v>571</v>
      </c>
      <c r="E3" s="124" t="s">
        <v>565</v>
      </c>
      <c r="F3" s="124" t="s">
        <v>566</v>
      </c>
      <c r="G3" s="33" t="s">
        <v>570</v>
      </c>
      <c r="H3" s="25" t="s">
        <v>569</v>
      </c>
      <c r="I3" s="25" t="s">
        <v>565</v>
      </c>
      <c r="J3" s="124" t="s">
        <v>567</v>
      </c>
      <c r="K3" s="52" t="s">
        <v>568</v>
      </c>
      <c r="L3" s="25" t="s">
        <v>565</v>
      </c>
      <c r="M3" s="124" t="s">
        <v>567</v>
      </c>
      <c r="N3" s="52" t="s">
        <v>566</v>
      </c>
      <c r="O3" s="124" t="s">
        <v>565</v>
      </c>
      <c r="P3" s="124" t="s">
        <v>564</v>
      </c>
      <c r="Q3" s="124" t="s">
        <v>562</v>
      </c>
      <c r="R3" s="124" t="s">
        <v>563</v>
      </c>
      <c r="S3" s="324"/>
      <c r="T3" s="325"/>
      <c r="U3" s="325"/>
      <c r="V3" s="325"/>
      <c r="W3" s="325"/>
      <c r="X3" s="325"/>
      <c r="Y3" s="325"/>
      <c r="Z3" s="325"/>
      <c r="AA3" s="115"/>
      <c r="AB3" s="324"/>
      <c r="AC3" s="325"/>
      <c r="AD3" s="325"/>
      <c r="AE3" s="115"/>
    </row>
    <row r="4" spans="1:44" ht="69" x14ac:dyDescent="0.3">
      <c r="A4" s="27" t="s">
        <v>561</v>
      </c>
      <c r="B4" s="309" t="s">
        <v>545</v>
      </c>
      <c r="C4" s="28" t="s">
        <v>560</v>
      </c>
      <c r="D4" s="121" t="s">
        <v>561</v>
      </c>
      <c r="E4" s="309" t="s">
        <v>545</v>
      </c>
      <c r="F4" s="121" t="s">
        <v>560</v>
      </c>
      <c r="G4" s="34" t="s">
        <v>322</v>
      </c>
      <c r="H4" s="27" t="s">
        <v>559</v>
      </c>
      <c r="I4" s="310" t="s">
        <v>545</v>
      </c>
      <c r="J4" s="309" t="s">
        <v>210</v>
      </c>
      <c r="K4" s="311" t="s">
        <v>209</v>
      </c>
      <c r="L4" s="310" t="s">
        <v>545</v>
      </c>
      <c r="M4" s="121" t="s">
        <v>559</v>
      </c>
      <c r="N4" s="28" t="s">
        <v>558</v>
      </c>
      <c r="O4" s="309" t="s">
        <v>545</v>
      </c>
      <c r="P4" s="124" t="s">
        <v>557</v>
      </c>
      <c r="Q4" s="121" t="s">
        <v>322</v>
      </c>
      <c r="R4" s="121" t="s">
        <v>556</v>
      </c>
      <c r="S4" s="25" t="s">
        <v>482</v>
      </c>
      <c r="T4" s="124" t="s">
        <v>553</v>
      </c>
      <c r="U4" s="124" t="s">
        <v>481</v>
      </c>
      <c r="V4" s="235" t="s">
        <v>480</v>
      </c>
      <c r="W4" s="235" t="s">
        <v>555</v>
      </c>
      <c r="X4" s="235" t="s">
        <v>478</v>
      </c>
      <c r="Y4" s="235" t="s">
        <v>554</v>
      </c>
      <c r="Z4" s="124" t="s">
        <v>474</v>
      </c>
      <c r="AA4" s="52" t="s">
        <v>473</v>
      </c>
      <c r="AB4" s="25" t="s">
        <v>481</v>
      </c>
      <c r="AC4" s="124" t="s">
        <v>553</v>
      </c>
      <c r="AD4" s="124" t="s">
        <v>552</v>
      </c>
      <c r="AE4" s="52" t="s">
        <v>551</v>
      </c>
      <c r="AF4" s="124" t="s">
        <v>258</v>
      </c>
      <c r="AG4" s="121" t="s">
        <v>417</v>
      </c>
      <c r="AH4" s="124" t="s">
        <v>416</v>
      </c>
      <c r="AI4" s="235" t="s">
        <v>455</v>
      </c>
      <c r="AJ4" s="235" t="s">
        <v>454</v>
      </c>
      <c r="AK4" s="235" t="s">
        <v>452</v>
      </c>
      <c r="AL4" s="235" t="s">
        <v>451</v>
      </c>
      <c r="AM4" s="235" t="s">
        <v>450</v>
      </c>
      <c r="AN4" s="235" t="s">
        <v>449</v>
      </c>
      <c r="AO4" s="235" t="s">
        <v>550</v>
      </c>
      <c r="AP4" s="235" t="s">
        <v>549</v>
      </c>
      <c r="AQ4" s="319" t="s">
        <v>583</v>
      </c>
    </row>
    <row r="5" spans="1:44" ht="41.4" x14ac:dyDescent="0.25">
      <c r="A5" s="27" t="s">
        <v>548</v>
      </c>
      <c r="B5" s="60" t="s">
        <v>584</v>
      </c>
      <c r="C5" s="306">
        <v>10</v>
      </c>
      <c r="D5" s="121" t="s">
        <v>547</v>
      </c>
      <c r="E5" s="60" t="s">
        <v>584</v>
      </c>
      <c r="F5" s="327">
        <v>300</v>
      </c>
      <c r="G5" s="301">
        <v>1</v>
      </c>
      <c r="H5" s="60" t="s">
        <v>173</v>
      </c>
      <c r="I5" s="135" t="s">
        <v>584</v>
      </c>
      <c r="J5" s="328" t="s">
        <v>201</v>
      </c>
      <c r="K5" s="299" t="s">
        <v>161</v>
      </c>
      <c r="L5" s="26" t="s">
        <v>584</v>
      </c>
      <c r="M5" s="135" t="s">
        <v>173</v>
      </c>
      <c r="N5" s="135">
        <v>5000</v>
      </c>
      <c r="O5" s="60" t="s">
        <v>584</v>
      </c>
      <c r="P5" s="135" t="s">
        <v>199</v>
      </c>
      <c r="Q5" s="135">
        <v>1</v>
      </c>
      <c r="R5" s="135">
        <v>0.1</v>
      </c>
      <c r="S5" s="308" t="s">
        <v>258</v>
      </c>
      <c r="T5" s="307" t="s">
        <v>545</v>
      </c>
      <c r="U5" s="307" t="s">
        <v>290</v>
      </c>
      <c r="V5" s="307" t="s">
        <v>416</v>
      </c>
      <c r="W5" s="307" t="s">
        <v>463</v>
      </c>
      <c r="X5" s="307" t="s">
        <v>462</v>
      </c>
      <c r="Y5" s="307" t="s">
        <v>546</v>
      </c>
      <c r="Z5" s="307" t="s">
        <v>458</v>
      </c>
      <c r="AA5" s="234" t="s">
        <v>457</v>
      </c>
      <c r="AB5" s="27" t="s">
        <v>290</v>
      </c>
      <c r="AC5" s="121" t="s">
        <v>545</v>
      </c>
      <c r="AD5" s="121" t="s">
        <v>544</v>
      </c>
      <c r="AE5" s="28" t="s">
        <v>460</v>
      </c>
      <c r="AF5" s="244" t="s">
        <v>15</v>
      </c>
      <c r="AG5" s="329" t="s">
        <v>585</v>
      </c>
      <c r="AH5" s="244" t="s">
        <v>206</v>
      </c>
      <c r="AI5" s="330">
        <v>13</v>
      </c>
      <c r="AJ5" s="330">
        <v>1</v>
      </c>
      <c r="AK5" s="330">
        <v>0</v>
      </c>
      <c r="AL5" s="330">
        <v>0</v>
      </c>
      <c r="AM5" s="330">
        <v>0</v>
      </c>
      <c r="AN5" s="330">
        <v>8</v>
      </c>
      <c r="AO5" s="330">
        <v>10</v>
      </c>
      <c r="AP5" s="330">
        <v>0</v>
      </c>
      <c r="AQ5" s="305">
        <v>0.1</v>
      </c>
    </row>
    <row r="6" spans="1:44" ht="14.4" x14ac:dyDescent="0.25">
      <c r="A6" s="27" t="s">
        <v>543</v>
      </c>
      <c r="B6" s="60" t="s">
        <v>584</v>
      </c>
      <c r="C6" s="306">
        <v>7</v>
      </c>
      <c r="D6" s="121" t="s">
        <v>542</v>
      </c>
      <c r="E6" s="60" t="s">
        <v>584</v>
      </c>
      <c r="F6" s="331">
        <v>800</v>
      </c>
      <c r="G6" s="301">
        <v>2</v>
      </c>
      <c r="H6" s="60" t="s">
        <v>201</v>
      </c>
      <c r="I6" s="135" t="s">
        <v>584</v>
      </c>
      <c r="J6" s="332" t="s">
        <v>193</v>
      </c>
      <c r="K6" s="299" t="s">
        <v>163</v>
      </c>
      <c r="L6" s="26" t="s">
        <v>584</v>
      </c>
      <c r="M6" s="135" t="s">
        <v>201</v>
      </c>
      <c r="N6" s="135">
        <v>20000</v>
      </c>
      <c r="O6" s="60" t="s">
        <v>584</v>
      </c>
      <c r="P6" s="135" t="s">
        <v>199</v>
      </c>
      <c r="Q6" s="135">
        <v>2</v>
      </c>
      <c r="R6" s="135">
        <v>0.1</v>
      </c>
      <c r="S6" s="304" t="s">
        <v>15</v>
      </c>
      <c r="T6" s="135" t="s">
        <v>584</v>
      </c>
      <c r="U6" s="135" t="s">
        <v>199</v>
      </c>
      <c r="V6" s="304" t="s">
        <v>206</v>
      </c>
      <c r="W6" s="303" t="s">
        <v>115</v>
      </c>
      <c r="X6" s="303">
        <v>0</v>
      </c>
      <c r="Y6" s="303">
        <v>120</v>
      </c>
      <c r="Z6" s="303">
        <v>0</v>
      </c>
      <c r="AA6" s="303">
        <v>0</v>
      </c>
      <c r="AB6" s="26" t="s">
        <v>199</v>
      </c>
      <c r="AC6" s="60" t="s">
        <v>584</v>
      </c>
      <c r="AD6" s="60" t="s">
        <v>541</v>
      </c>
      <c r="AE6" s="24">
        <v>10000</v>
      </c>
      <c r="AF6" s="244" t="s">
        <v>15</v>
      </c>
      <c r="AG6" s="329" t="s">
        <v>585</v>
      </c>
      <c r="AH6" s="244" t="s">
        <v>198</v>
      </c>
      <c r="AI6" s="330">
        <v>13</v>
      </c>
      <c r="AJ6" s="330">
        <v>1</v>
      </c>
      <c r="AK6" s="330">
        <v>3</v>
      </c>
      <c r="AL6" s="330">
        <v>1</v>
      </c>
      <c r="AM6" s="330">
        <v>0</v>
      </c>
      <c r="AN6" s="330">
        <v>40</v>
      </c>
      <c r="AO6" s="330">
        <v>10</v>
      </c>
      <c r="AP6" s="330">
        <v>3</v>
      </c>
    </row>
    <row r="7" spans="1:44" ht="14.4" x14ac:dyDescent="0.25">
      <c r="A7" s="27" t="s">
        <v>540</v>
      </c>
      <c r="B7" s="60" t="s">
        <v>584</v>
      </c>
      <c r="C7" s="306">
        <v>4</v>
      </c>
      <c r="D7" s="121" t="s">
        <v>547</v>
      </c>
      <c r="E7" s="333" t="s">
        <v>586</v>
      </c>
      <c r="F7" s="325">
        <v>1200</v>
      </c>
      <c r="G7" s="301">
        <v>3</v>
      </c>
      <c r="H7" s="60" t="s">
        <v>193</v>
      </c>
      <c r="I7" s="135" t="s">
        <v>584</v>
      </c>
      <c r="J7" s="332" t="s">
        <v>181</v>
      </c>
      <c r="K7" s="299" t="s">
        <v>158</v>
      </c>
      <c r="L7" s="26" t="s">
        <v>584</v>
      </c>
      <c r="M7" s="135" t="s">
        <v>193</v>
      </c>
      <c r="N7" s="135">
        <v>1000</v>
      </c>
      <c r="O7" s="60" t="s">
        <v>584</v>
      </c>
      <c r="P7" s="135" t="s">
        <v>199</v>
      </c>
      <c r="Q7" s="135">
        <v>3</v>
      </c>
      <c r="R7" s="135">
        <v>0.1</v>
      </c>
      <c r="S7" s="304" t="s">
        <v>15</v>
      </c>
      <c r="T7" s="135" t="s">
        <v>584</v>
      </c>
      <c r="U7" s="135" t="s">
        <v>199</v>
      </c>
      <c r="V7" s="304" t="s">
        <v>198</v>
      </c>
      <c r="W7" s="303" t="s">
        <v>115</v>
      </c>
      <c r="X7" s="303">
        <v>27</v>
      </c>
      <c r="Y7" s="303">
        <v>120</v>
      </c>
      <c r="Z7" s="303">
        <v>0</v>
      </c>
      <c r="AA7" s="303">
        <v>0</v>
      </c>
      <c r="AB7" s="26" t="s">
        <v>199</v>
      </c>
      <c r="AC7" s="60" t="s">
        <v>584</v>
      </c>
      <c r="AD7" s="60" t="s">
        <v>539</v>
      </c>
      <c r="AE7" s="24">
        <v>14400</v>
      </c>
      <c r="AF7" s="244" t="s">
        <v>15</v>
      </c>
      <c r="AG7" s="329" t="s">
        <v>585</v>
      </c>
      <c r="AH7" s="244" t="s">
        <v>190</v>
      </c>
      <c r="AI7" s="330">
        <v>13</v>
      </c>
      <c r="AJ7" s="330">
        <v>1</v>
      </c>
      <c r="AK7" s="330">
        <v>3</v>
      </c>
      <c r="AL7" s="330">
        <v>1</v>
      </c>
      <c r="AM7" s="330">
        <v>0</v>
      </c>
      <c r="AN7" s="330">
        <v>40</v>
      </c>
      <c r="AO7" s="330">
        <v>10</v>
      </c>
      <c r="AP7" s="330">
        <v>3</v>
      </c>
    </row>
    <row r="8" spans="1:44" ht="14.4" x14ac:dyDescent="0.3">
      <c r="A8" s="27" t="s">
        <v>548</v>
      </c>
      <c r="B8" s="333" t="s">
        <v>586</v>
      </c>
      <c r="C8" s="115">
        <v>30</v>
      </c>
      <c r="D8" s="121" t="s">
        <v>542</v>
      </c>
      <c r="E8" s="333" t="s">
        <v>586</v>
      </c>
      <c r="F8" s="325">
        <v>200</v>
      </c>
      <c r="G8" s="301">
        <v>4</v>
      </c>
      <c r="H8" s="60" t="s">
        <v>538</v>
      </c>
      <c r="I8" s="135" t="s">
        <v>584</v>
      </c>
      <c r="J8" s="334" t="s">
        <v>177</v>
      </c>
      <c r="K8" s="299" t="s">
        <v>163</v>
      </c>
      <c r="L8" s="26" t="s">
        <v>584</v>
      </c>
      <c r="M8" s="135" t="s">
        <v>538</v>
      </c>
      <c r="N8" s="135">
        <v>30000</v>
      </c>
      <c r="O8" s="60" t="s">
        <v>584</v>
      </c>
      <c r="P8" s="135" t="s">
        <v>199</v>
      </c>
      <c r="Q8" s="135">
        <v>4</v>
      </c>
      <c r="R8" s="135">
        <v>0.1</v>
      </c>
      <c r="S8" s="304" t="s">
        <v>15</v>
      </c>
      <c r="T8" s="135" t="s">
        <v>584</v>
      </c>
      <c r="U8" s="135" t="s">
        <v>199</v>
      </c>
      <c r="V8" s="304" t="s">
        <v>190</v>
      </c>
      <c r="W8" s="303" t="s">
        <v>115</v>
      </c>
      <c r="X8" s="303" t="s">
        <v>587</v>
      </c>
      <c r="Y8" s="303">
        <v>120</v>
      </c>
      <c r="Z8" s="335">
        <v>2000</v>
      </c>
      <c r="AA8" s="141">
        <v>0.27400000000000002</v>
      </c>
      <c r="AB8" s="26" t="s">
        <v>199</v>
      </c>
      <c r="AC8" s="60" t="s">
        <v>584</v>
      </c>
      <c r="AD8" s="60" t="s">
        <v>537</v>
      </c>
      <c r="AE8" s="24">
        <v>20160</v>
      </c>
      <c r="AF8" s="244" t="s">
        <v>16</v>
      </c>
      <c r="AG8" s="329" t="s">
        <v>585</v>
      </c>
      <c r="AH8" s="244" t="s">
        <v>206</v>
      </c>
      <c r="AI8" s="330">
        <v>13</v>
      </c>
      <c r="AJ8" s="330">
        <v>1</v>
      </c>
      <c r="AK8" s="330">
        <v>0</v>
      </c>
      <c r="AL8" s="330">
        <v>0</v>
      </c>
      <c r="AM8" s="330">
        <v>0</v>
      </c>
      <c r="AN8" s="330">
        <v>8</v>
      </c>
      <c r="AO8" s="330">
        <v>10</v>
      </c>
      <c r="AP8" s="330">
        <v>0</v>
      </c>
    </row>
    <row r="9" spans="1:44" ht="14.4" x14ac:dyDescent="0.25">
      <c r="A9" s="27" t="s">
        <v>543</v>
      </c>
      <c r="B9" s="333" t="s">
        <v>586</v>
      </c>
      <c r="C9" s="115">
        <v>30</v>
      </c>
      <c r="D9" s="325"/>
      <c r="E9" s="325"/>
      <c r="F9" s="325"/>
      <c r="G9" s="301">
        <v>5</v>
      </c>
      <c r="H9" s="60" t="s">
        <v>536</v>
      </c>
      <c r="I9" s="135" t="s">
        <v>584</v>
      </c>
      <c r="J9" s="332" t="s">
        <v>175</v>
      </c>
      <c r="K9" s="299" t="s">
        <v>163</v>
      </c>
      <c r="L9" s="26" t="s">
        <v>584</v>
      </c>
      <c r="M9" s="135" t="s">
        <v>536</v>
      </c>
      <c r="N9" s="135">
        <v>1000</v>
      </c>
      <c r="O9" s="60" t="s">
        <v>584</v>
      </c>
      <c r="P9" s="135" t="s">
        <v>199</v>
      </c>
      <c r="Q9" s="135">
        <v>5</v>
      </c>
      <c r="R9" s="135">
        <v>0.1</v>
      </c>
      <c r="S9" s="304" t="s">
        <v>16</v>
      </c>
      <c r="T9" s="135" t="s">
        <v>584</v>
      </c>
      <c r="U9" s="135" t="s">
        <v>199</v>
      </c>
      <c r="V9" s="304" t="s">
        <v>206</v>
      </c>
      <c r="W9" s="303" t="s">
        <v>115</v>
      </c>
      <c r="X9" s="303" t="s">
        <v>97</v>
      </c>
      <c r="Y9" s="303">
        <v>150</v>
      </c>
      <c r="Z9" s="303">
        <v>0</v>
      </c>
      <c r="AA9" s="303" t="s">
        <v>97</v>
      </c>
      <c r="AB9" s="26" t="s">
        <v>199</v>
      </c>
      <c r="AC9" s="60" t="s">
        <v>586</v>
      </c>
      <c r="AD9" s="60" t="s">
        <v>541</v>
      </c>
      <c r="AE9" s="24">
        <v>450</v>
      </c>
      <c r="AF9" s="244" t="s">
        <v>16</v>
      </c>
      <c r="AG9" s="329" t="s">
        <v>585</v>
      </c>
      <c r="AH9" s="244" t="s">
        <v>198</v>
      </c>
      <c r="AI9" s="330">
        <v>13</v>
      </c>
      <c r="AJ9" s="330">
        <v>1</v>
      </c>
      <c r="AK9" s="330">
        <v>3</v>
      </c>
      <c r="AL9" s="330">
        <v>1</v>
      </c>
      <c r="AM9" s="330">
        <v>0</v>
      </c>
      <c r="AN9" s="330">
        <v>40</v>
      </c>
      <c r="AO9" s="330">
        <v>10</v>
      </c>
      <c r="AP9" s="330">
        <v>3</v>
      </c>
      <c r="AQ9" s="59"/>
      <c r="AR9" s="59"/>
    </row>
    <row r="10" spans="1:44" ht="14.4" x14ac:dyDescent="0.25">
      <c r="A10" s="27" t="s">
        <v>540</v>
      </c>
      <c r="B10" s="333" t="s">
        <v>586</v>
      </c>
      <c r="C10" s="115">
        <v>3</v>
      </c>
      <c r="D10" s="325"/>
      <c r="E10" s="325"/>
      <c r="F10" s="325"/>
      <c r="G10" s="301">
        <v>6</v>
      </c>
      <c r="H10" s="60" t="s">
        <v>175</v>
      </c>
      <c r="I10" s="135" t="s">
        <v>584</v>
      </c>
      <c r="J10" s="332" t="s">
        <v>173</v>
      </c>
      <c r="K10" s="299" t="s">
        <v>164</v>
      </c>
      <c r="L10" s="26" t="s">
        <v>584</v>
      </c>
      <c r="M10" s="135" t="s">
        <v>175</v>
      </c>
      <c r="N10" s="135">
        <v>100</v>
      </c>
      <c r="O10" s="60" t="s">
        <v>584</v>
      </c>
      <c r="P10" s="135" t="s">
        <v>199</v>
      </c>
      <c r="Q10" s="135">
        <v>6</v>
      </c>
      <c r="R10" s="135">
        <v>0.1</v>
      </c>
      <c r="S10" s="304" t="s">
        <v>16</v>
      </c>
      <c r="T10" s="135" t="s">
        <v>584</v>
      </c>
      <c r="U10" s="135" t="s">
        <v>199</v>
      </c>
      <c r="V10" s="304" t="s">
        <v>198</v>
      </c>
      <c r="W10" s="303" t="s">
        <v>115</v>
      </c>
      <c r="X10" s="303">
        <v>27</v>
      </c>
      <c r="Y10" s="303">
        <v>150</v>
      </c>
      <c r="Z10" s="303">
        <v>0</v>
      </c>
      <c r="AA10" s="303" t="s">
        <v>97</v>
      </c>
      <c r="AB10" s="26" t="s">
        <v>199</v>
      </c>
      <c r="AC10" s="60" t="s">
        <v>586</v>
      </c>
      <c r="AD10" s="60" t="s">
        <v>539</v>
      </c>
      <c r="AE10" s="24">
        <v>1800</v>
      </c>
      <c r="AF10" s="304" t="s">
        <v>16</v>
      </c>
      <c r="AG10" s="329" t="s">
        <v>585</v>
      </c>
      <c r="AH10" s="244" t="s">
        <v>190</v>
      </c>
      <c r="AI10" s="330">
        <v>13</v>
      </c>
      <c r="AJ10" s="330">
        <v>1</v>
      </c>
      <c r="AK10" s="330">
        <v>3</v>
      </c>
      <c r="AL10" s="330">
        <v>1</v>
      </c>
      <c r="AM10" s="330">
        <v>0</v>
      </c>
      <c r="AN10" s="330">
        <v>40</v>
      </c>
      <c r="AO10" s="330">
        <v>10</v>
      </c>
      <c r="AP10" s="330">
        <v>3</v>
      </c>
      <c r="AQ10" s="59"/>
      <c r="AR10" s="59"/>
    </row>
    <row r="11" spans="1:44" ht="14.4" x14ac:dyDescent="0.25">
      <c r="A11" s="26"/>
      <c r="B11" s="325"/>
      <c r="D11" s="325"/>
      <c r="E11" s="325"/>
      <c r="F11" s="325"/>
      <c r="G11" s="301">
        <v>7</v>
      </c>
      <c r="H11" s="61" t="s">
        <v>181</v>
      </c>
      <c r="I11" s="135" t="s">
        <v>584</v>
      </c>
      <c r="J11" s="332" t="s">
        <v>173</v>
      </c>
      <c r="K11" s="299" t="s">
        <v>160</v>
      </c>
      <c r="L11" s="26" t="s">
        <v>584</v>
      </c>
      <c r="M11" s="332" t="s">
        <v>177</v>
      </c>
      <c r="N11" s="135">
        <v>100</v>
      </c>
      <c r="O11" s="60" t="s">
        <v>584</v>
      </c>
      <c r="P11" s="135" t="s">
        <v>199</v>
      </c>
      <c r="Q11" s="135">
        <v>7</v>
      </c>
      <c r="R11" s="135">
        <v>0.1</v>
      </c>
      <c r="S11" s="304" t="s">
        <v>16</v>
      </c>
      <c r="T11" s="135" t="s">
        <v>584</v>
      </c>
      <c r="U11" s="135" t="s">
        <v>199</v>
      </c>
      <c r="V11" s="304" t="s">
        <v>190</v>
      </c>
      <c r="W11" s="303" t="s">
        <v>115</v>
      </c>
      <c r="X11" s="303" t="s">
        <v>587</v>
      </c>
      <c r="Y11" s="303">
        <v>150</v>
      </c>
      <c r="Z11" s="303">
        <v>0</v>
      </c>
      <c r="AA11" s="302">
        <v>0.03</v>
      </c>
      <c r="AB11" s="26" t="s">
        <v>199</v>
      </c>
      <c r="AC11" s="60" t="s">
        <v>586</v>
      </c>
      <c r="AD11" s="60" t="s">
        <v>537</v>
      </c>
      <c r="AE11" s="24">
        <v>4500</v>
      </c>
      <c r="AF11" s="304" t="s">
        <v>256</v>
      </c>
      <c r="AG11" s="329" t="s">
        <v>585</v>
      </c>
      <c r="AH11" s="244" t="s">
        <v>206</v>
      </c>
      <c r="AI11" s="330">
        <v>13</v>
      </c>
      <c r="AJ11" s="330">
        <v>1</v>
      </c>
      <c r="AK11" s="330">
        <v>0</v>
      </c>
      <c r="AL11" s="330">
        <v>0</v>
      </c>
      <c r="AM11" s="330">
        <v>0</v>
      </c>
      <c r="AN11" s="330">
        <v>8</v>
      </c>
      <c r="AO11" s="330">
        <v>10</v>
      </c>
      <c r="AP11" s="330">
        <v>0</v>
      </c>
      <c r="AQ11" s="59"/>
      <c r="AR11" s="59"/>
    </row>
    <row r="12" spans="1:44" ht="14.4" x14ac:dyDescent="0.25">
      <c r="A12" s="26"/>
      <c r="B12" s="325"/>
      <c r="D12" s="325"/>
      <c r="E12" s="325"/>
      <c r="F12" s="325"/>
      <c r="G12" s="301">
        <v>8</v>
      </c>
      <c r="H12" s="61" t="s">
        <v>177</v>
      </c>
      <c r="I12" s="135" t="s">
        <v>584</v>
      </c>
      <c r="J12" s="332" t="s">
        <v>173</v>
      </c>
      <c r="K12" s="299" t="s">
        <v>159</v>
      </c>
      <c r="L12" s="26" t="s">
        <v>584</v>
      </c>
      <c r="M12" s="332" t="s">
        <v>181</v>
      </c>
      <c r="N12" s="135">
        <v>100</v>
      </c>
      <c r="O12" s="60" t="s">
        <v>584</v>
      </c>
      <c r="P12" s="135" t="s">
        <v>199</v>
      </c>
      <c r="Q12" s="135">
        <v>8</v>
      </c>
      <c r="R12" s="135">
        <v>0.1</v>
      </c>
      <c r="S12" s="304" t="s">
        <v>256</v>
      </c>
      <c r="T12" s="135" t="s">
        <v>584</v>
      </c>
      <c r="U12" s="135" t="s">
        <v>199</v>
      </c>
      <c r="V12" s="304" t="s">
        <v>206</v>
      </c>
      <c r="W12" s="303" t="s">
        <v>115</v>
      </c>
      <c r="X12" s="303">
        <v>0</v>
      </c>
      <c r="Y12" s="303">
        <v>150</v>
      </c>
      <c r="Z12" s="303">
        <v>0</v>
      </c>
      <c r="AA12" s="303">
        <v>0</v>
      </c>
      <c r="AB12" s="322"/>
      <c r="AC12" s="222"/>
      <c r="AD12" s="222"/>
      <c r="AE12" s="115"/>
      <c r="AF12" s="304" t="s">
        <v>256</v>
      </c>
      <c r="AG12" s="329" t="s">
        <v>585</v>
      </c>
      <c r="AH12" s="244" t="s">
        <v>198</v>
      </c>
      <c r="AI12" s="330">
        <v>13</v>
      </c>
      <c r="AJ12" s="330">
        <v>1</v>
      </c>
      <c r="AK12" s="330">
        <v>3</v>
      </c>
      <c r="AL12" s="330">
        <v>1</v>
      </c>
      <c r="AM12" s="330">
        <v>0</v>
      </c>
      <c r="AN12" s="330">
        <v>40</v>
      </c>
      <c r="AO12" s="330">
        <v>10</v>
      </c>
      <c r="AP12" s="330">
        <v>3</v>
      </c>
      <c r="AQ12" s="59"/>
      <c r="AR12" s="59"/>
    </row>
    <row r="13" spans="1:44" ht="14.4" x14ac:dyDescent="0.25">
      <c r="A13" s="26"/>
      <c r="B13" s="325"/>
      <c r="D13" s="325"/>
      <c r="E13" s="325"/>
      <c r="F13" s="325"/>
      <c r="G13" s="301">
        <v>9</v>
      </c>
      <c r="H13" s="300"/>
      <c r="I13" s="135" t="s">
        <v>584</v>
      </c>
      <c r="J13" s="332" t="s">
        <v>173</v>
      </c>
      <c r="K13" s="299" t="s">
        <v>163</v>
      </c>
      <c r="L13" s="336" t="s">
        <v>586</v>
      </c>
      <c r="M13" s="332" t="s">
        <v>193</v>
      </c>
      <c r="N13" s="135">
        <v>1000</v>
      </c>
      <c r="O13" s="60" t="s">
        <v>584</v>
      </c>
      <c r="P13" s="135" t="s">
        <v>199</v>
      </c>
      <c r="Q13" s="135">
        <v>9</v>
      </c>
      <c r="R13" s="135">
        <v>0.1</v>
      </c>
      <c r="S13" s="304" t="s">
        <v>256</v>
      </c>
      <c r="T13" s="135" t="s">
        <v>584</v>
      </c>
      <c r="U13" s="135" t="s">
        <v>199</v>
      </c>
      <c r="V13" s="304" t="s">
        <v>198</v>
      </c>
      <c r="W13" s="303" t="s">
        <v>115</v>
      </c>
      <c r="X13" s="303">
        <v>27</v>
      </c>
      <c r="Y13" s="303">
        <v>150</v>
      </c>
      <c r="Z13" s="303">
        <v>0</v>
      </c>
      <c r="AA13" s="303">
        <v>0</v>
      </c>
      <c r="AB13" s="322"/>
      <c r="AC13" s="222"/>
      <c r="AD13" s="222"/>
      <c r="AE13" s="115"/>
      <c r="AF13" s="304" t="s">
        <v>256</v>
      </c>
      <c r="AG13" s="329" t="s">
        <v>585</v>
      </c>
      <c r="AH13" s="244" t="s">
        <v>190</v>
      </c>
      <c r="AI13" s="330">
        <v>13</v>
      </c>
      <c r="AJ13" s="330">
        <v>1</v>
      </c>
      <c r="AK13" s="330">
        <v>3</v>
      </c>
      <c r="AL13" s="330">
        <v>1</v>
      </c>
      <c r="AM13" s="330">
        <v>0</v>
      </c>
      <c r="AN13" s="330">
        <v>40</v>
      </c>
      <c r="AO13" s="330">
        <v>10</v>
      </c>
      <c r="AP13" s="330">
        <v>3</v>
      </c>
      <c r="AQ13" s="59"/>
      <c r="AR13" s="59"/>
    </row>
    <row r="14" spans="1:44" ht="14.4" x14ac:dyDescent="0.3">
      <c r="A14" s="26"/>
      <c r="B14" s="325"/>
      <c r="D14" s="60"/>
      <c r="E14" s="325"/>
      <c r="F14" s="325"/>
      <c r="G14" s="301">
        <v>10</v>
      </c>
      <c r="H14" s="300"/>
      <c r="I14" s="135" t="s">
        <v>584</v>
      </c>
      <c r="J14" s="206" t="s">
        <v>538</v>
      </c>
      <c r="K14" s="299" t="s">
        <v>159</v>
      </c>
      <c r="L14" s="336" t="s">
        <v>586</v>
      </c>
      <c r="M14" s="332" t="s">
        <v>536</v>
      </c>
      <c r="N14" s="135">
        <v>175</v>
      </c>
      <c r="O14" s="60" t="s">
        <v>584</v>
      </c>
      <c r="P14" s="135" t="s">
        <v>199</v>
      </c>
      <c r="Q14" s="135">
        <v>10</v>
      </c>
      <c r="R14" s="135">
        <v>0</v>
      </c>
      <c r="S14" s="304" t="s">
        <v>256</v>
      </c>
      <c r="T14" s="135" t="s">
        <v>584</v>
      </c>
      <c r="U14" s="135" t="s">
        <v>199</v>
      </c>
      <c r="V14" s="304" t="s">
        <v>190</v>
      </c>
      <c r="W14" s="303" t="s">
        <v>115</v>
      </c>
      <c r="X14" s="303" t="s">
        <v>587</v>
      </c>
      <c r="Y14" s="303">
        <v>150</v>
      </c>
      <c r="Z14" s="335">
        <v>2000</v>
      </c>
      <c r="AA14" s="141">
        <v>7.4999999999999997E-2</v>
      </c>
      <c r="AB14" s="322"/>
      <c r="AC14" s="222"/>
      <c r="AD14" s="222"/>
      <c r="AE14" s="115"/>
      <c r="AF14" s="304" t="s">
        <v>255</v>
      </c>
      <c r="AG14" s="329" t="s">
        <v>585</v>
      </c>
      <c r="AH14" s="244" t="s">
        <v>206</v>
      </c>
      <c r="AI14" s="330">
        <v>13</v>
      </c>
      <c r="AJ14" s="330">
        <v>1</v>
      </c>
      <c r="AK14" s="330">
        <v>0</v>
      </c>
      <c r="AL14" s="330">
        <v>0</v>
      </c>
      <c r="AM14" s="330">
        <v>0</v>
      </c>
      <c r="AN14" s="330">
        <v>8</v>
      </c>
      <c r="AO14" s="330">
        <v>10</v>
      </c>
      <c r="AP14" s="330">
        <v>0</v>
      </c>
      <c r="AQ14" s="59"/>
      <c r="AR14" s="59"/>
    </row>
    <row r="15" spans="1:44" ht="14.4" x14ac:dyDescent="0.25">
      <c r="A15" s="26"/>
      <c r="B15" s="325"/>
      <c r="D15" s="60"/>
      <c r="E15" s="325"/>
      <c r="F15" s="325"/>
      <c r="G15" s="301">
        <v>11</v>
      </c>
      <c r="H15" s="300"/>
      <c r="I15" s="135" t="s">
        <v>584</v>
      </c>
      <c r="J15" s="332" t="s">
        <v>536</v>
      </c>
      <c r="K15" s="299" t="s">
        <v>163</v>
      </c>
      <c r="L15" s="336" t="s">
        <v>586</v>
      </c>
      <c r="M15" s="328" t="s">
        <v>201</v>
      </c>
      <c r="N15" s="135">
        <v>1500</v>
      </c>
      <c r="O15" s="333" t="s">
        <v>586</v>
      </c>
      <c r="P15" s="135" t="s">
        <v>199</v>
      </c>
      <c r="Q15" s="301">
        <v>1</v>
      </c>
      <c r="R15" s="135">
        <v>0.1</v>
      </c>
      <c r="S15" s="304" t="s">
        <v>255</v>
      </c>
      <c r="T15" s="135" t="s">
        <v>584</v>
      </c>
      <c r="U15" s="135" t="s">
        <v>199</v>
      </c>
      <c r="V15" s="304" t="s">
        <v>206</v>
      </c>
      <c r="W15" s="303" t="s">
        <v>115</v>
      </c>
      <c r="X15" s="303">
        <v>0</v>
      </c>
      <c r="Y15" s="303">
        <v>150</v>
      </c>
      <c r="Z15" s="303">
        <v>0</v>
      </c>
      <c r="AA15" s="303">
        <v>0</v>
      </c>
      <c r="AB15" s="324"/>
      <c r="AC15" s="325"/>
      <c r="AD15" s="325"/>
      <c r="AE15" s="115"/>
      <c r="AF15" s="304" t="s">
        <v>255</v>
      </c>
      <c r="AG15" s="329" t="s">
        <v>585</v>
      </c>
      <c r="AH15" s="244" t="s">
        <v>198</v>
      </c>
      <c r="AI15" s="330">
        <v>13</v>
      </c>
      <c r="AJ15" s="330">
        <v>1</v>
      </c>
      <c r="AK15" s="330">
        <v>3</v>
      </c>
      <c r="AL15" s="330">
        <v>1</v>
      </c>
      <c r="AM15" s="330">
        <v>0</v>
      </c>
      <c r="AN15" s="330">
        <v>40</v>
      </c>
      <c r="AO15" s="330">
        <v>10</v>
      </c>
      <c r="AP15" s="330">
        <v>3</v>
      </c>
      <c r="AQ15" s="59"/>
      <c r="AR15" s="59"/>
    </row>
    <row r="16" spans="1:44" ht="14.4" x14ac:dyDescent="0.25">
      <c r="A16" s="26"/>
      <c r="B16" s="325"/>
      <c r="D16" s="60"/>
      <c r="E16" s="325"/>
      <c r="F16" s="325"/>
      <c r="H16" s="324"/>
      <c r="I16" s="336" t="s">
        <v>586</v>
      </c>
      <c r="J16" s="328" t="s">
        <v>201</v>
      </c>
      <c r="K16" s="299" t="s">
        <v>161</v>
      </c>
      <c r="L16" s="336" t="s">
        <v>586</v>
      </c>
      <c r="M16" s="332" t="s">
        <v>175</v>
      </c>
      <c r="N16" s="325">
        <v>100</v>
      </c>
      <c r="O16" s="333" t="s">
        <v>586</v>
      </c>
      <c r="P16" s="135" t="s">
        <v>199</v>
      </c>
      <c r="Q16" s="301">
        <v>2</v>
      </c>
      <c r="R16" s="135">
        <v>0.1</v>
      </c>
      <c r="S16" s="304" t="s">
        <v>255</v>
      </c>
      <c r="T16" s="135" t="s">
        <v>584</v>
      </c>
      <c r="U16" s="135" t="s">
        <v>199</v>
      </c>
      <c r="V16" s="304" t="s">
        <v>198</v>
      </c>
      <c r="W16" s="303" t="s">
        <v>115</v>
      </c>
      <c r="X16" s="303">
        <v>27</v>
      </c>
      <c r="Y16" s="303">
        <v>150</v>
      </c>
      <c r="Z16" s="303">
        <v>0</v>
      </c>
      <c r="AA16" s="303">
        <v>0</v>
      </c>
      <c r="AB16" s="324"/>
      <c r="AC16" s="325"/>
      <c r="AD16" s="325"/>
      <c r="AE16" s="115"/>
      <c r="AF16" s="304" t="s">
        <v>255</v>
      </c>
      <c r="AG16" s="329" t="s">
        <v>585</v>
      </c>
      <c r="AH16" s="244" t="s">
        <v>190</v>
      </c>
      <c r="AI16" s="330">
        <v>13</v>
      </c>
      <c r="AJ16" s="330">
        <v>1</v>
      </c>
      <c r="AK16" s="330">
        <v>3</v>
      </c>
      <c r="AL16" s="330">
        <v>1</v>
      </c>
      <c r="AM16" s="330">
        <v>0</v>
      </c>
      <c r="AN16" s="330">
        <v>40</v>
      </c>
      <c r="AO16" s="330">
        <v>10</v>
      </c>
      <c r="AP16" s="330">
        <v>3</v>
      </c>
    </row>
    <row r="17" spans="1:42" ht="14.4" x14ac:dyDescent="0.3">
      <c r="A17" s="26"/>
      <c r="B17" s="325"/>
      <c r="D17" s="60"/>
      <c r="E17" s="325"/>
      <c r="F17" s="325"/>
      <c r="H17" s="324"/>
      <c r="I17" s="336" t="s">
        <v>586</v>
      </c>
      <c r="J17" s="332" t="s">
        <v>193</v>
      </c>
      <c r="K17" s="299" t="s">
        <v>163</v>
      </c>
      <c r="L17" s="336" t="s">
        <v>586</v>
      </c>
      <c r="M17" s="332" t="s">
        <v>177</v>
      </c>
      <c r="N17" s="135">
        <v>100</v>
      </c>
      <c r="O17" s="333" t="s">
        <v>586</v>
      </c>
      <c r="P17" s="135" t="s">
        <v>199</v>
      </c>
      <c r="Q17" s="301">
        <v>3</v>
      </c>
      <c r="R17" s="135">
        <v>0.1</v>
      </c>
      <c r="S17" s="304" t="s">
        <v>255</v>
      </c>
      <c r="T17" s="135" t="s">
        <v>584</v>
      </c>
      <c r="U17" s="135" t="s">
        <v>199</v>
      </c>
      <c r="V17" s="304" t="s">
        <v>190</v>
      </c>
      <c r="W17" s="303" t="s">
        <v>115</v>
      </c>
      <c r="X17" s="303" t="s">
        <v>587</v>
      </c>
      <c r="Y17" s="303">
        <v>150</v>
      </c>
      <c r="Z17" s="335">
        <v>2000</v>
      </c>
      <c r="AA17" s="141">
        <v>5.7500000000000002E-2</v>
      </c>
      <c r="AB17" s="324"/>
      <c r="AC17" s="325"/>
      <c r="AD17" s="325"/>
      <c r="AE17" s="115"/>
      <c r="AF17" s="304" t="s">
        <v>588</v>
      </c>
      <c r="AG17" s="329" t="s">
        <v>585</v>
      </c>
      <c r="AH17" s="244" t="s">
        <v>206</v>
      </c>
      <c r="AI17" s="330">
        <v>13</v>
      </c>
      <c r="AJ17" s="330">
        <v>1</v>
      </c>
      <c r="AK17" s="330">
        <v>0</v>
      </c>
      <c r="AL17" s="330">
        <v>0</v>
      </c>
      <c r="AM17" s="330">
        <v>0</v>
      </c>
      <c r="AN17" s="330">
        <v>8</v>
      </c>
      <c r="AO17" s="330">
        <v>10</v>
      </c>
      <c r="AP17" s="330">
        <v>0</v>
      </c>
    </row>
    <row r="18" spans="1:42" ht="14.4" x14ac:dyDescent="0.25">
      <c r="A18" s="324"/>
      <c r="B18" s="325"/>
      <c r="D18" s="325"/>
      <c r="E18" s="325"/>
      <c r="F18" s="325"/>
      <c r="H18" s="324"/>
      <c r="I18" s="336" t="s">
        <v>586</v>
      </c>
      <c r="J18" s="332" t="s">
        <v>181</v>
      </c>
      <c r="K18" s="299" t="s">
        <v>162</v>
      </c>
      <c r="L18" s="336" t="s">
        <v>586</v>
      </c>
      <c r="M18" s="332" t="s">
        <v>173</v>
      </c>
      <c r="N18" s="325">
        <v>1200</v>
      </c>
      <c r="O18" s="333" t="s">
        <v>586</v>
      </c>
      <c r="P18" s="135" t="s">
        <v>199</v>
      </c>
      <c r="Q18" s="301">
        <v>4</v>
      </c>
      <c r="R18" s="135">
        <v>0.1</v>
      </c>
      <c r="S18" s="304" t="s">
        <v>588</v>
      </c>
      <c r="T18" s="135" t="s">
        <v>584</v>
      </c>
      <c r="U18" s="135" t="s">
        <v>199</v>
      </c>
      <c r="V18" s="304" t="s">
        <v>206</v>
      </c>
      <c r="W18" s="303" t="s">
        <v>115</v>
      </c>
      <c r="X18" s="303">
        <v>0</v>
      </c>
      <c r="Y18" s="303">
        <v>150</v>
      </c>
      <c r="Z18" s="303">
        <v>0</v>
      </c>
      <c r="AA18" s="303">
        <v>0</v>
      </c>
      <c r="AB18" s="322"/>
      <c r="AC18" s="325"/>
      <c r="AD18" s="222"/>
      <c r="AE18" s="115"/>
      <c r="AF18" s="304" t="s">
        <v>588</v>
      </c>
      <c r="AG18" s="329" t="s">
        <v>585</v>
      </c>
      <c r="AH18" s="244" t="s">
        <v>198</v>
      </c>
      <c r="AI18" s="330">
        <v>13</v>
      </c>
      <c r="AJ18" s="330">
        <v>1</v>
      </c>
      <c r="AK18" s="330">
        <v>3</v>
      </c>
      <c r="AL18" s="330">
        <v>1</v>
      </c>
      <c r="AM18" s="330">
        <v>0</v>
      </c>
      <c r="AN18" s="330">
        <v>40</v>
      </c>
      <c r="AO18" s="330">
        <v>10</v>
      </c>
      <c r="AP18" s="330">
        <v>3</v>
      </c>
    </row>
    <row r="19" spans="1:42" ht="14.4" x14ac:dyDescent="0.25">
      <c r="A19" s="324"/>
      <c r="B19" s="325"/>
      <c r="D19" s="325"/>
      <c r="E19" s="325"/>
      <c r="F19" s="325"/>
      <c r="H19" s="324"/>
      <c r="I19" s="336" t="s">
        <v>586</v>
      </c>
      <c r="J19" s="332" t="s">
        <v>181</v>
      </c>
      <c r="K19" s="299" t="s">
        <v>158</v>
      </c>
      <c r="L19" s="336" t="s">
        <v>586</v>
      </c>
      <c r="M19" s="206" t="s">
        <v>538</v>
      </c>
      <c r="N19" s="135">
        <v>30000</v>
      </c>
      <c r="O19" s="333" t="s">
        <v>586</v>
      </c>
      <c r="P19" s="135" t="s">
        <v>199</v>
      </c>
      <c r="Q19" s="301">
        <v>5</v>
      </c>
      <c r="R19" s="135">
        <v>0.1</v>
      </c>
      <c r="S19" s="304" t="s">
        <v>588</v>
      </c>
      <c r="T19" s="135" t="s">
        <v>584</v>
      </c>
      <c r="U19" s="135" t="s">
        <v>199</v>
      </c>
      <c r="V19" s="304" t="s">
        <v>198</v>
      </c>
      <c r="W19" s="303" t="s">
        <v>115</v>
      </c>
      <c r="X19" s="303">
        <v>27</v>
      </c>
      <c r="Y19" s="303">
        <v>150</v>
      </c>
      <c r="Z19" s="303">
        <v>0</v>
      </c>
      <c r="AA19" s="303">
        <v>0</v>
      </c>
      <c r="AB19" s="322"/>
      <c r="AC19" s="325"/>
      <c r="AD19" s="222"/>
      <c r="AE19" s="115"/>
      <c r="AF19" s="304" t="s">
        <v>588</v>
      </c>
      <c r="AG19" s="329" t="s">
        <v>585</v>
      </c>
      <c r="AH19" s="244" t="s">
        <v>190</v>
      </c>
      <c r="AI19" s="330">
        <v>13</v>
      </c>
      <c r="AJ19" s="330">
        <v>1</v>
      </c>
      <c r="AK19" s="330">
        <v>3</v>
      </c>
      <c r="AL19" s="330">
        <v>1</v>
      </c>
      <c r="AM19" s="330">
        <v>0</v>
      </c>
      <c r="AN19" s="330">
        <v>40</v>
      </c>
      <c r="AO19" s="330">
        <v>10</v>
      </c>
      <c r="AP19" s="330">
        <v>3</v>
      </c>
    </row>
    <row r="20" spans="1:42" ht="14.4" x14ac:dyDescent="0.3">
      <c r="A20" s="324"/>
      <c r="B20" s="325"/>
      <c r="D20" s="325"/>
      <c r="E20" s="325"/>
      <c r="F20" s="325"/>
      <c r="H20" s="324"/>
      <c r="I20" s="336" t="s">
        <v>586</v>
      </c>
      <c r="J20" s="332" t="s">
        <v>181</v>
      </c>
      <c r="K20" s="299" t="s">
        <v>155</v>
      </c>
      <c r="L20" s="336" t="s">
        <v>586</v>
      </c>
      <c r="M20" s="332" t="s">
        <v>181</v>
      </c>
      <c r="N20" s="137">
        <v>100</v>
      </c>
      <c r="O20" s="333" t="s">
        <v>586</v>
      </c>
      <c r="P20" s="135" t="s">
        <v>199</v>
      </c>
      <c r="Q20" s="301">
        <v>6</v>
      </c>
      <c r="R20" s="135">
        <v>0.1</v>
      </c>
      <c r="S20" s="304" t="s">
        <v>588</v>
      </c>
      <c r="T20" s="135" t="s">
        <v>584</v>
      </c>
      <c r="U20" s="135" t="s">
        <v>199</v>
      </c>
      <c r="V20" s="304" t="s">
        <v>190</v>
      </c>
      <c r="W20" s="303" t="s">
        <v>115</v>
      </c>
      <c r="X20" s="303" t="s">
        <v>587</v>
      </c>
      <c r="Y20" s="303">
        <v>150</v>
      </c>
      <c r="Z20" s="335">
        <v>2000</v>
      </c>
      <c r="AA20" s="115">
        <v>0.46500000000000002</v>
      </c>
      <c r="AB20" s="322"/>
      <c r="AC20" s="325"/>
      <c r="AD20" s="222"/>
      <c r="AE20" s="115"/>
      <c r="AF20" s="244" t="s">
        <v>15</v>
      </c>
      <c r="AG20" s="329" t="s">
        <v>586</v>
      </c>
      <c r="AH20" s="244" t="s">
        <v>206</v>
      </c>
      <c r="AI20" s="330">
        <v>13</v>
      </c>
      <c r="AJ20" s="330">
        <v>1</v>
      </c>
      <c r="AK20" s="330">
        <v>0</v>
      </c>
      <c r="AL20" s="330">
        <v>0</v>
      </c>
      <c r="AM20" s="330">
        <v>1</v>
      </c>
      <c r="AN20" s="330">
        <v>1</v>
      </c>
      <c r="AO20" s="330">
        <v>10</v>
      </c>
      <c r="AP20" s="330">
        <v>0</v>
      </c>
    </row>
    <row r="21" spans="1:42" ht="14.4" x14ac:dyDescent="0.3">
      <c r="A21" s="324"/>
      <c r="B21" s="325"/>
      <c r="D21" s="325"/>
      <c r="E21" s="325"/>
      <c r="F21" s="325"/>
      <c r="H21" s="324"/>
      <c r="I21" s="336" t="s">
        <v>586</v>
      </c>
      <c r="J21" s="332" t="s">
        <v>177</v>
      </c>
      <c r="K21" s="299" t="s">
        <v>163</v>
      </c>
      <c r="L21" s="324"/>
      <c r="M21" s="325"/>
      <c r="O21" s="333" t="s">
        <v>586</v>
      </c>
      <c r="P21" s="135" t="s">
        <v>199</v>
      </c>
      <c r="Q21" s="301">
        <v>7</v>
      </c>
      <c r="R21" s="135">
        <v>0.1</v>
      </c>
      <c r="S21" s="304" t="s">
        <v>15</v>
      </c>
      <c r="T21" s="325" t="s">
        <v>589</v>
      </c>
      <c r="U21" s="135" t="s">
        <v>199</v>
      </c>
      <c r="V21" s="304" t="s">
        <v>206</v>
      </c>
      <c r="W21" s="303" t="s">
        <v>115</v>
      </c>
      <c r="X21" s="325">
        <v>0</v>
      </c>
      <c r="Y21" s="303">
        <v>150</v>
      </c>
      <c r="Z21" s="303">
        <v>0</v>
      </c>
      <c r="AA21" s="303">
        <v>0</v>
      </c>
      <c r="AB21" s="335"/>
      <c r="AC21" s="325"/>
      <c r="AD21" s="325"/>
      <c r="AE21" s="115"/>
      <c r="AF21" s="244" t="s">
        <v>15</v>
      </c>
      <c r="AG21" s="329" t="s">
        <v>586</v>
      </c>
      <c r="AH21" s="244" t="s">
        <v>198</v>
      </c>
      <c r="AI21" s="330">
        <v>13</v>
      </c>
      <c r="AJ21" s="330">
        <v>1</v>
      </c>
      <c r="AK21" s="330">
        <v>1</v>
      </c>
      <c r="AL21" s="330">
        <v>1</v>
      </c>
      <c r="AM21" s="330">
        <v>1</v>
      </c>
      <c r="AN21" s="330">
        <v>2</v>
      </c>
      <c r="AO21" s="330">
        <v>10</v>
      </c>
      <c r="AP21" s="330">
        <v>1</v>
      </c>
    </row>
    <row r="22" spans="1:42" ht="14.4" x14ac:dyDescent="0.3">
      <c r="A22" s="324"/>
      <c r="B22" s="325"/>
      <c r="D22" s="325"/>
      <c r="E22" s="325"/>
      <c r="F22" s="325"/>
      <c r="H22" s="324"/>
      <c r="I22" s="336" t="s">
        <v>586</v>
      </c>
      <c r="J22" s="332" t="s">
        <v>175</v>
      </c>
      <c r="K22" s="299" t="s">
        <v>163</v>
      </c>
      <c r="L22" s="324"/>
      <c r="M22" s="325"/>
      <c r="O22" s="333" t="s">
        <v>586</v>
      </c>
      <c r="P22" s="135" t="s">
        <v>199</v>
      </c>
      <c r="Q22" s="301">
        <v>8</v>
      </c>
      <c r="R22" s="135">
        <v>0.1</v>
      </c>
      <c r="S22" s="304" t="s">
        <v>15</v>
      </c>
      <c r="T22" s="325" t="s">
        <v>589</v>
      </c>
      <c r="U22" s="135" t="s">
        <v>199</v>
      </c>
      <c r="V22" s="304" t="s">
        <v>198</v>
      </c>
      <c r="W22" s="303" t="s">
        <v>115</v>
      </c>
      <c r="X22" s="325">
        <v>42</v>
      </c>
      <c r="Y22" s="303">
        <v>150</v>
      </c>
      <c r="Z22" s="303">
        <v>0</v>
      </c>
      <c r="AA22" s="303">
        <v>0</v>
      </c>
      <c r="AB22" s="335"/>
      <c r="AC22" s="325"/>
      <c r="AD22" s="325"/>
      <c r="AE22" s="115"/>
      <c r="AF22" s="244" t="s">
        <v>15</v>
      </c>
      <c r="AG22" s="329" t="s">
        <v>586</v>
      </c>
      <c r="AH22" s="244" t="s">
        <v>190</v>
      </c>
      <c r="AI22" s="330">
        <v>13</v>
      </c>
      <c r="AJ22" s="330">
        <v>1</v>
      </c>
      <c r="AK22" s="330">
        <v>1</v>
      </c>
      <c r="AL22" s="330">
        <v>1</v>
      </c>
      <c r="AM22" s="330">
        <v>1</v>
      </c>
      <c r="AN22" s="330">
        <v>2</v>
      </c>
      <c r="AO22" s="330">
        <v>10</v>
      </c>
      <c r="AP22" s="330">
        <v>1</v>
      </c>
    </row>
    <row r="23" spans="1:42" ht="14.4" x14ac:dyDescent="0.3">
      <c r="A23" s="324"/>
      <c r="B23" s="325"/>
      <c r="D23" s="325"/>
      <c r="E23" s="325"/>
      <c r="F23" s="325"/>
      <c r="H23" s="324"/>
      <c r="I23" s="336" t="s">
        <v>586</v>
      </c>
      <c r="J23" s="332" t="s">
        <v>173</v>
      </c>
      <c r="K23" s="299" t="s">
        <v>164</v>
      </c>
      <c r="L23" s="324"/>
      <c r="M23" s="325"/>
      <c r="O23" s="333" t="s">
        <v>586</v>
      </c>
      <c r="P23" s="135" t="s">
        <v>199</v>
      </c>
      <c r="Q23" s="301">
        <v>9</v>
      </c>
      <c r="R23" s="135">
        <v>0.1</v>
      </c>
      <c r="S23" s="304" t="s">
        <v>15</v>
      </c>
      <c r="T23" s="325" t="s">
        <v>589</v>
      </c>
      <c r="U23" s="135" t="s">
        <v>199</v>
      </c>
      <c r="V23" s="304" t="s">
        <v>190</v>
      </c>
      <c r="W23" s="303" t="s">
        <v>115</v>
      </c>
      <c r="X23" s="325">
        <v>81</v>
      </c>
      <c r="Y23" s="303">
        <v>150</v>
      </c>
      <c r="Z23" s="303">
        <v>0</v>
      </c>
      <c r="AA23" s="325">
        <v>0.113</v>
      </c>
      <c r="AB23" s="335"/>
      <c r="AC23" s="325"/>
      <c r="AD23" s="325"/>
      <c r="AE23" s="115"/>
      <c r="AF23" s="244" t="s">
        <v>255</v>
      </c>
      <c r="AG23" s="329" t="s">
        <v>586</v>
      </c>
      <c r="AH23" s="244" t="s">
        <v>206</v>
      </c>
      <c r="AI23" s="330">
        <v>13</v>
      </c>
      <c r="AJ23" s="330">
        <v>1</v>
      </c>
      <c r="AK23" s="330">
        <v>0</v>
      </c>
      <c r="AL23" s="330">
        <v>0</v>
      </c>
      <c r="AM23" s="330">
        <v>1</v>
      </c>
      <c r="AN23" s="330">
        <v>1</v>
      </c>
      <c r="AO23" s="330">
        <v>10</v>
      </c>
      <c r="AP23" s="330">
        <v>0</v>
      </c>
    </row>
    <row r="24" spans="1:42" ht="14.4" x14ac:dyDescent="0.25">
      <c r="A24" s="324"/>
      <c r="B24" s="325"/>
      <c r="D24" s="325"/>
      <c r="E24" s="325"/>
      <c r="F24" s="325"/>
      <c r="H24" s="324"/>
      <c r="I24" s="336" t="s">
        <v>586</v>
      </c>
      <c r="J24" s="332" t="s">
        <v>173</v>
      </c>
      <c r="K24" s="299" t="s">
        <v>160</v>
      </c>
      <c r="L24" s="324"/>
      <c r="M24" s="325"/>
      <c r="O24" s="333" t="s">
        <v>586</v>
      </c>
      <c r="P24" s="135" t="s">
        <v>199</v>
      </c>
      <c r="Q24" s="301">
        <v>10</v>
      </c>
      <c r="R24" s="135">
        <v>0</v>
      </c>
      <c r="S24" s="304" t="s">
        <v>255</v>
      </c>
      <c r="T24" s="325" t="s">
        <v>589</v>
      </c>
      <c r="U24" s="135" t="s">
        <v>199</v>
      </c>
      <c r="V24" s="304" t="s">
        <v>206</v>
      </c>
      <c r="W24" s="303" t="s">
        <v>115</v>
      </c>
      <c r="X24" s="325">
        <v>0</v>
      </c>
      <c r="Y24" s="303">
        <v>150</v>
      </c>
      <c r="Z24" s="303">
        <v>0</v>
      </c>
      <c r="AA24" s="303">
        <v>0</v>
      </c>
      <c r="AB24" s="324"/>
      <c r="AC24" s="325"/>
      <c r="AD24" s="325"/>
      <c r="AE24" s="115"/>
      <c r="AF24" s="244" t="s">
        <v>255</v>
      </c>
      <c r="AG24" s="329" t="s">
        <v>586</v>
      </c>
      <c r="AH24" s="244" t="s">
        <v>198</v>
      </c>
      <c r="AI24" s="330">
        <v>13</v>
      </c>
      <c r="AJ24" s="330">
        <v>1</v>
      </c>
      <c r="AK24" s="330">
        <v>1</v>
      </c>
      <c r="AL24" s="330">
        <v>1</v>
      </c>
      <c r="AM24" s="330">
        <v>1</v>
      </c>
      <c r="AN24" s="330">
        <v>2</v>
      </c>
      <c r="AO24" s="330">
        <v>10</v>
      </c>
      <c r="AP24" s="330">
        <v>1</v>
      </c>
    </row>
    <row r="25" spans="1:42" ht="14.4" x14ac:dyDescent="0.25">
      <c r="A25" s="324"/>
      <c r="B25" s="325"/>
      <c r="D25" s="325"/>
      <c r="E25" s="325"/>
      <c r="F25" s="325"/>
      <c r="H25" s="324"/>
      <c r="I25" s="336" t="s">
        <v>586</v>
      </c>
      <c r="J25" s="332" t="s">
        <v>173</v>
      </c>
      <c r="K25" s="299" t="s">
        <v>159</v>
      </c>
      <c r="L25" s="324"/>
      <c r="M25" s="325"/>
      <c r="O25" s="325"/>
      <c r="P25" s="325"/>
      <c r="Q25" s="325"/>
      <c r="R25" s="325"/>
      <c r="S25" s="304" t="s">
        <v>255</v>
      </c>
      <c r="T25" s="325" t="s">
        <v>589</v>
      </c>
      <c r="U25" s="135" t="s">
        <v>199</v>
      </c>
      <c r="V25" s="304" t="s">
        <v>198</v>
      </c>
      <c r="W25" s="303" t="s">
        <v>115</v>
      </c>
      <c r="X25" s="325">
        <v>42</v>
      </c>
      <c r="Y25" s="303">
        <v>150</v>
      </c>
      <c r="Z25" s="303">
        <v>0</v>
      </c>
      <c r="AA25" s="303">
        <v>0</v>
      </c>
      <c r="AB25" s="324"/>
      <c r="AC25" s="325"/>
      <c r="AD25" s="325"/>
      <c r="AE25" s="115"/>
      <c r="AF25" s="244" t="s">
        <v>255</v>
      </c>
      <c r="AG25" s="329" t="s">
        <v>586</v>
      </c>
      <c r="AH25" s="244" t="s">
        <v>190</v>
      </c>
      <c r="AI25" s="330">
        <v>13</v>
      </c>
      <c r="AJ25" s="330">
        <v>1</v>
      </c>
      <c r="AK25" s="330">
        <v>1</v>
      </c>
      <c r="AL25" s="330">
        <v>1</v>
      </c>
      <c r="AM25" s="330">
        <v>1</v>
      </c>
      <c r="AN25" s="330">
        <v>2</v>
      </c>
      <c r="AO25" s="330">
        <v>10</v>
      </c>
      <c r="AP25" s="330">
        <v>1</v>
      </c>
    </row>
    <row r="26" spans="1:42" ht="14.4" x14ac:dyDescent="0.25">
      <c r="A26" s="324"/>
      <c r="B26" s="325"/>
      <c r="D26" s="325"/>
      <c r="E26" s="325"/>
      <c r="F26" s="325"/>
      <c r="H26" s="324"/>
      <c r="I26" s="336" t="s">
        <v>586</v>
      </c>
      <c r="J26" s="332" t="s">
        <v>173</v>
      </c>
      <c r="K26" s="299" t="s">
        <v>163</v>
      </c>
      <c r="L26" s="324"/>
      <c r="M26" s="325"/>
      <c r="O26" s="325"/>
      <c r="P26" s="325"/>
      <c r="Q26" s="325"/>
      <c r="R26" s="325"/>
      <c r="S26" s="304" t="s">
        <v>255</v>
      </c>
      <c r="T26" s="325" t="s">
        <v>589</v>
      </c>
      <c r="U26" s="135" t="s">
        <v>199</v>
      </c>
      <c r="V26" s="304" t="s">
        <v>190</v>
      </c>
      <c r="W26" s="303" t="s">
        <v>115</v>
      </c>
      <c r="X26" s="325">
        <v>81</v>
      </c>
      <c r="Y26" s="303">
        <v>150</v>
      </c>
      <c r="Z26" s="303">
        <v>0</v>
      </c>
      <c r="AA26" s="115">
        <v>0.02</v>
      </c>
      <c r="AB26" s="324"/>
      <c r="AC26" s="325"/>
      <c r="AD26" s="325"/>
      <c r="AE26" s="115"/>
      <c r="AF26" s="244" t="s">
        <v>588</v>
      </c>
      <c r="AG26" s="329" t="s">
        <v>586</v>
      </c>
      <c r="AH26" s="244" t="s">
        <v>206</v>
      </c>
      <c r="AI26" s="330">
        <v>13</v>
      </c>
      <c r="AJ26" s="330">
        <v>1</v>
      </c>
      <c r="AK26" s="330">
        <v>0</v>
      </c>
      <c r="AL26" s="330">
        <v>0</v>
      </c>
      <c r="AM26" s="330">
        <v>1</v>
      </c>
      <c r="AN26" s="330">
        <v>1</v>
      </c>
      <c r="AO26" s="330">
        <v>10</v>
      </c>
      <c r="AP26" s="330">
        <v>0</v>
      </c>
    </row>
    <row r="27" spans="1:42" ht="14.4" x14ac:dyDescent="0.25">
      <c r="A27" s="324"/>
      <c r="B27" s="325"/>
      <c r="D27" s="325"/>
      <c r="E27" s="325"/>
      <c r="F27" s="325"/>
      <c r="H27" s="324"/>
      <c r="I27" s="336" t="s">
        <v>586</v>
      </c>
      <c r="J27" s="206" t="s">
        <v>538</v>
      </c>
      <c r="K27" s="299" t="s">
        <v>159</v>
      </c>
      <c r="L27" s="324"/>
      <c r="M27" s="325"/>
      <c r="O27" s="325"/>
      <c r="P27" s="325"/>
      <c r="Q27" s="325"/>
      <c r="R27" s="325"/>
      <c r="S27" s="304" t="s">
        <v>588</v>
      </c>
      <c r="T27" s="325" t="s">
        <v>589</v>
      </c>
      <c r="U27" s="135" t="s">
        <v>199</v>
      </c>
      <c r="V27" s="304" t="s">
        <v>206</v>
      </c>
      <c r="W27" s="303" t="s">
        <v>115</v>
      </c>
      <c r="X27" s="325">
        <v>0</v>
      </c>
      <c r="Y27" s="303">
        <v>150</v>
      </c>
      <c r="Z27" s="303">
        <v>0</v>
      </c>
      <c r="AA27" s="303">
        <v>0</v>
      </c>
      <c r="AB27" s="324"/>
      <c r="AC27" s="325"/>
      <c r="AD27" s="325"/>
      <c r="AE27" s="115"/>
      <c r="AF27" s="244" t="s">
        <v>588</v>
      </c>
      <c r="AG27" s="329" t="s">
        <v>586</v>
      </c>
      <c r="AH27" s="244" t="s">
        <v>198</v>
      </c>
      <c r="AI27" s="330">
        <v>13</v>
      </c>
      <c r="AJ27" s="330">
        <v>1</v>
      </c>
      <c r="AK27" s="330">
        <v>1</v>
      </c>
      <c r="AL27" s="330">
        <v>1</v>
      </c>
      <c r="AM27" s="330">
        <v>1</v>
      </c>
      <c r="AN27" s="330">
        <v>2</v>
      </c>
      <c r="AO27" s="330">
        <v>10</v>
      </c>
      <c r="AP27" s="330">
        <v>1</v>
      </c>
    </row>
    <row r="28" spans="1:42" ht="14.4" x14ac:dyDescent="0.25">
      <c r="A28" s="324"/>
      <c r="B28" s="325"/>
      <c r="D28" s="325"/>
      <c r="E28" s="325"/>
      <c r="F28" s="325"/>
      <c r="H28" s="324"/>
      <c r="I28" s="336" t="s">
        <v>586</v>
      </c>
      <c r="J28" s="332" t="s">
        <v>536</v>
      </c>
      <c r="K28" s="299" t="s">
        <v>163</v>
      </c>
      <c r="L28" s="324"/>
      <c r="M28" s="325"/>
      <c r="O28" s="325"/>
      <c r="P28" s="325"/>
      <c r="Q28" s="325"/>
      <c r="R28" s="325"/>
      <c r="S28" s="304" t="s">
        <v>588</v>
      </c>
      <c r="T28" s="325" t="s">
        <v>589</v>
      </c>
      <c r="U28" s="135" t="s">
        <v>199</v>
      </c>
      <c r="V28" s="304" t="s">
        <v>198</v>
      </c>
      <c r="W28" s="303" t="s">
        <v>115</v>
      </c>
      <c r="X28" s="325">
        <v>42</v>
      </c>
      <c r="Y28" s="303">
        <v>150</v>
      </c>
      <c r="Z28" s="303">
        <v>0</v>
      </c>
      <c r="AA28" s="303">
        <v>0</v>
      </c>
      <c r="AB28" s="324"/>
      <c r="AC28" s="325"/>
      <c r="AD28" s="325"/>
      <c r="AE28" s="115"/>
      <c r="AF28" s="244" t="s">
        <v>588</v>
      </c>
      <c r="AG28" s="329" t="s">
        <v>586</v>
      </c>
      <c r="AH28" s="244" t="s">
        <v>190</v>
      </c>
      <c r="AI28" s="330">
        <v>13</v>
      </c>
      <c r="AJ28" s="330">
        <v>1</v>
      </c>
      <c r="AK28" s="330">
        <v>1</v>
      </c>
      <c r="AL28" s="330">
        <v>1</v>
      </c>
      <c r="AM28" s="330">
        <v>1</v>
      </c>
      <c r="AN28" s="330">
        <v>2</v>
      </c>
      <c r="AO28" s="330">
        <v>10</v>
      </c>
      <c r="AP28" s="330">
        <v>1</v>
      </c>
    </row>
    <row r="29" spans="1:42" ht="14.4" x14ac:dyDescent="0.25">
      <c r="A29" s="324"/>
      <c r="B29" s="325"/>
      <c r="D29" s="325"/>
      <c r="E29" s="325"/>
      <c r="F29" s="325"/>
      <c r="H29" s="324"/>
      <c r="I29" s="324"/>
      <c r="J29" s="325"/>
      <c r="L29" s="324"/>
      <c r="M29" s="325"/>
      <c r="O29" s="325"/>
      <c r="P29" s="325"/>
      <c r="Q29" s="325"/>
      <c r="R29" s="325"/>
      <c r="S29" s="304" t="s">
        <v>588</v>
      </c>
      <c r="T29" s="325" t="s">
        <v>589</v>
      </c>
      <c r="U29" s="135" t="s">
        <v>199</v>
      </c>
      <c r="V29" s="304" t="s">
        <v>190</v>
      </c>
      <c r="W29" s="303" t="s">
        <v>115</v>
      </c>
      <c r="X29" s="325">
        <v>81</v>
      </c>
      <c r="Y29" s="303">
        <v>150</v>
      </c>
      <c r="Z29" s="325">
        <v>0</v>
      </c>
      <c r="AA29" s="115">
        <v>0.16500000000000001</v>
      </c>
      <c r="AB29" s="324"/>
      <c r="AC29" s="325"/>
      <c r="AD29" s="325"/>
      <c r="AE29" s="115"/>
      <c r="AF29" s="325"/>
      <c r="AG29" s="329"/>
      <c r="AH29" s="325"/>
      <c r="AI29" s="325"/>
      <c r="AJ29" s="325"/>
      <c r="AK29" s="325"/>
      <c r="AL29" s="325"/>
      <c r="AM29" s="325"/>
      <c r="AN29" s="325"/>
      <c r="AO29" s="325"/>
      <c r="AP29" s="325"/>
    </row>
  </sheetData>
  <mergeCells count="8">
    <mergeCell ref="A1:C1"/>
    <mergeCell ref="D1:F1"/>
    <mergeCell ref="O1:R1"/>
    <mergeCell ref="L1:N1"/>
    <mergeCell ref="AF1:AP1"/>
    <mergeCell ref="I1:K1"/>
    <mergeCell ref="AB1:AE1"/>
    <mergeCell ref="S1:AA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13</vt:i4>
      </vt:variant>
    </vt:vector>
  </HeadingPairs>
  <TitlesOfParts>
    <vt:vector size="13" baseType="lpstr">
      <vt:lpstr>sets</vt:lpstr>
      <vt:lpstr>value_chain</vt:lpstr>
      <vt:lpstr>risk</vt:lpstr>
      <vt:lpstr>price_data</vt:lpstr>
      <vt:lpstr>nitrogen</vt:lpstr>
      <vt:lpstr>Livestock</vt:lpstr>
      <vt:lpstr>household_data</vt:lpstr>
      <vt:lpstr>farm_data</vt:lpstr>
      <vt:lpstr>energy_data</vt:lpstr>
      <vt:lpstr>crop_data</vt:lpstr>
      <vt:lpstr>calib_data</vt:lpstr>
      <vt:lpstr>water</vt:lpstr>
      <vt:lpstr>agroforestry_data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cuilleret</dc:creator>
  <cp:lastModifiedBy>Mathieu Cuilleret</cp:lastModifiedBy>
  <dcterms:created xsi:type="dcterms:W3CDTF">2025-07-01T10:17:14Z</dcterms:created>
  <dcterms:modified xsi:type="dcterms:W3CDTF">2026-04-29T14:27:49Z</dcterms:modified>
</cp:coreProperties>
</file>