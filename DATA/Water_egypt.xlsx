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0_04_2026\DATA\"/>
    </mc:Choice>
  </mc:AlternateContent>
  <xr:revisionPtr revIDLastSave="0" documentId="13_ncr:1_{3365C241-8111-4E11-95BB-60395A0B53B6}" xr6:coauthVersionLast="47" xr6:coauthVersionMax="47" xr10:uidLastSave="{00000000-0000-0000-0000-000000000000}"/>
  <bookViews>
    <workbookView xWindow="-108" yWindow="-108" windowWidth="23256" windowHeight="12456" activeTab="1" xr2:uid="{31EFA6E6-1937-41D8-B9CD-955A6DEE26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" i="2" l="1"/>
  <c r="Q8" i="2"/>
  <c r="R8" i="2"/>
  <c r="S8" i="2"/>
  <c r="T8" i="2"/>
  <c r="U8" i="2"/>
  <c r="V8" i="2"/>
  <c r="W8" i="2"/>
  <c r="X8" i="2"/>
  <c r="Y8" i="2"/>
  <c r="Z8" i="2"/>
  <c r="AA8" i="2"/>
  <c r="P8" i="2"/>
  <c r="P7" i="2"/>
  <c r="P3" i="2"/>
  <c r="AA3" i="2"/>
  <c r="Z3" i="2"/>
  <c r="Y3" i="2"/>
  <c r="X3" i="2"/>
  <c r="W3" i="2"/>
  <c r="V3" i="2"/>
  <c r="U3" i="2"/>
  <c r="T3" i="2"/>
  <c r="S3" i="2"/>
  <c r="R3" i="2"/>
  <c r="Q3" i="2"/>
  <c r="Q9" i="1"/>
  <c r="R9" i="1"/>
  <c r="S9" i="1"/>
  <c r="T9" i="1"/>
  <c r="U9" i="1"/>
  <c r="V9" i="1"/>
  <c r="W9" i="1"/>
  <c r="X9" i="1"/>
  <c r="Y9" i="1"/>
  <c r="Z9" i="1"/>
  <c r="AA9" i="1"/>
  <c r="P9" i="1"/>
  <c r="U8" i="1"/>
  <c r="V8" i="1"/>
  <c r="W8" i="1"/>
  <c r="X8" i="1"/>
  <c r="Y8" i="1"/>
  <c r="T8" i="1"/>
  <c r="Q7" i="1"/>
  <c r="P7" i="1"/>
  <c r="AA7" i="1"/>
  <c r="Z7" i="1"/>
  <c r="Y7" i="1"/>
  <c r="P5" i="1"/>
  <c r="U6" i="1"/>
  <c r="V6" i="1"/>
  <c r="W6" i="1"/>
  <c r="X6" i="1"/>
  <c r="T6" i="1"/>
  <c r="Q5" i="1"/>
  <c r="R5" i="1"/>
  <c r="S5" i="1"/>
  <c r="T5" i="1"/>
  <c r="U5" i="1"/>
  <c r="P4" i="1"/>
  <c r="AA3" i="1"/>
  <c r="Z3" i="1"/>
  <c r="Y3" i="1"/>
  <c r="X3" i="1"/>
  <c r="W3" i="1"/>
  <c r="V3" i="1"/>
  <c r="U3" i="1"/>
  <c r="T3" i="1"/>
  <c r="S3" i="1"/>
  <c r="R3" i="1"/>
  <c r="Q3" i="1"/>
  <c r="P3" i="1"/>
  <c r="P4" i="2" l="1"/>
  <c r="AA9" i="2" l="1"/>
  <c r="P5" i="2"/>
  <c r="Q9" i="2"/>
  <c r="R9" i="2"/>
  <c r="S9" i="2"/>
  <c r="T9" i="2"/>
  <c r="Z9" i="2"/>
  <c r="U9" i="2"/>
  <c r="V9" i="2"/>
  <c r="W9" i="2"/>
  <c r="X9" i="2"/>
  <c r="Y9" i="2"/>
  <c r="Q6" i="2"/>
  <c r="U5" i="2"/>
  <c r="R6" i="2"/>
  <c r="R7" i="2"/>
  <c r="V5" i="2"/>
  <c r="S7" i="2"/>
  <c r="S6" i="2"/>
  <c r="W5" i="2"/>
  <c r="T7" i="2"/>
  <c r="U6" i="2"/>
  <c r="X5" i="2"/>
  <c r="U7" i="2"/>
  <c r="V6" i="2"/>
  <c r="Y5" i="2"/>
  <c r="V7" i="2"/>
  <c r="W6" i="2"/>
  <c r="Z5" i="2"/>
  <c r="W7" i="2"/>
  <c r="X6" i="2"/>
  <c r="AA5" i="2"/>
  <c r="X7" i="2"/>
  <c r="Y6" i="2"/>
  <c r="Q5" i="2"/>
  <c r="Y7" i="2"/>
  <c r="Z6" i="2"/>
  <c r="Z7" i="2"/>
  <c r="AA6" i="2"/>
  <c r="AA7" i="2"/>
  <c r="T6" i="2"/>
  <c r="Q7" i="2"/>
  <c r="R5" i="2"/>
  <c r="S5" i="2"/>
  <c r="P6" i="2"/>
  <c r="T5" i="2"/>
</calcChain>
</file>

<file path=xl/sharedStrings.xml><?xml version="1.0" encoding="utf-8"?>
<sst xmlns="http://schemas.openxmlformats.org/spreadsheetml/2006/main" count="189" uniqueCount="46">
  <si>
    <t>p_et0 data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</si>
  <si>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</si>
  <si>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</si>
  <si>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</si>
  <si>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</si>
  <si>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</si>
  <si>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</si>
  <si>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</si>
  <si>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</si>
  <si>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</si>
  <si>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</si>
  <si>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</si>
  <si>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</si>
  <si>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</si>
  <si>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</si>
  <si>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</si>
  <si>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</si>
  <si>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</si>
  <si>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</si>
  <si>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</si>
  <si>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</si>
  <si>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</si>
  <si>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</si>
  <si>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</si>
  <si>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</si>
  <si>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2023</t>
  </si>
  <si>
    <t>month et0</t>
  </si>
  <si>
    <t>Maize</t>
  </si>
  <si>
    <t>Clover</t>
  </si>
  <si>
    <t>Sorghum</t>
  </si>
  <si>
    <t>Wheat</t>
  </si>
  <si>
    <t>crop</t>
  </si>
  <si>
    <t>inten</t>
  </si>
  <si>
    <t>p_kc</t>
  </si>
  <si>
    <t>wheat_c</t>
  </si>
  <si>
    <t>int_1</t>
  </si>
  <si>
    <t>int_2</t>
  </si>
  <si>
    <t>int_3</t>
  </si>
  <si>
    <t>maize_c</t>
  </si>
  <si>
    <t>sugarcane_c</t>
  </si>
  <si>
    <t>clover_c</t>
  </si>
  <si>
    <t>sorghum_c</t>
  </si>
  <si>
    <t>imp_wheat</t>
  </si>
  <si>
    <t>imp_maize</t>
  </si>
  <si>
    <t>no_plant</t>
  </si>
  <si>
    <t>sugarcane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</si>
</sst>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4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C307-E33B-4DB2-A108-2478357689F6}">
  <dimension ref="A1:AA35"/>
  <sheetViews>
    <sheetView topLeftCell="N1" workbookViewId="0">
      <selection activeCell="O1" sqref="A1:XFD1048576"/>
    </sheetView>
  </sheetViews>
  <sheetFormatPr baseColWidth="10" defaultRowHeight="14.4" x14ac:dyDescent="0.3"/>
  <cols>
    <col min="16" max="27" width="12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26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</row>
    <row r="2" spans="1:27" x14ac:dyDescent="0.3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27" x14ac:dyDescent="0.3">
      <c r="A3" s="2" t="s">
        <v>25</v>
      </c>
      <c r="B3" s="3">
        <v>4.0856098352993513</v>
      </c>
      <c r="C3" s="3">
        <v>4.4878514428168783</v>
      </c>
      <c r="D3" s="3">
        <v>5.1439719301057121</v>
      </c>
      <c r="E3" s="3">
        <v>5.3429977144576473</v>
      </c>
      <c r="F3" s="3">
        <v>5.5700614674699471</v>
      </c>
      <c r="G3" s="3">
        <v>5.4885187499517212</v>
      </c>
      <c r="H3" s="3">
        <v>5.3147507118037822</v>
      </c>
      <c r="I3" s="3">
        <v>6.0748952058192653</v>
      </c>
      <c r="J3" s="3">
        <v>5.6933983991451784</v>
      </c>
      <c r="K3" s="3">
        <v>5.7932384814871831</v>
      </c>
      <c r="L3" s="3">
        <v>4.7552846859810449</v>
      </c>
      <c r="M3" s="3">
        <v>4.2098520478856178</v>
      </c>
      <c r="P3">
        <f>B3*31</f>
        <v>126.65390489427989</v>
      </c>
      <c r="Q3">
        <f>C3*28</f>
        <v>125.65984039887259</v>
      </c>
      <c r="R3">
        <f>D3*31</f>
        <v>159.46312983327707</v>
      </c>
      <c r="S3">
        <f>E3*30</f>
        <v>160.28993143372941</v>
      </c>
      <c r="T3">
        <f>F3*31</f>
        <v>172.67190549156837</v>
      </c>
      <c r="U3">
        <f>G3*30</f>
        <v>164.65556249855163</v>
      </c>
      <c r="V3">
        <f>H3*31</f>
        <v>164.75727206591725</v>
      </c>
      <c r="W3">
        <f>I3*31</f>
        <v>188.32175138039722</v>
      </c>
      <c r="X3">
        <f>J3*30</f>
        <v>170.80195197435535</v>
      </c>
      <c r="Y3">
        <f>K3*31</f>
        <v>179.59039292610268</v>
      </c>
      <c r="Z3">
        <f>L3*30</f>
        <v>142.65854057943136</v>
      </c>
      <c r="AA3">
        <f>M3*31</f>
        <v>130.50541348445415</v>
      </c>
    </row>
    <row r="4" spans="1:27" x14ac:dyDescent="0.3">
      <c r="P4">
        <f>SUM(P3:AA3)</f>
        <v>1886.0295969609365</v>
      </c>
    </row>
    <row r="5" spans="1:27" x14ac:dyDescent="0.3">
      <c r="O5" t="s">
        <v>30</v>
      </c>
      <c r="P5" s="8">
        <f>($D$18*$P$4)/6</f>
        <v>361.48900608417944</v>
      </c>
      <c r="Q5" s="8">
        <f t="shared" ref="Q5:U5" si="0">(1.15*$P$4)/6</f>
        <v>361.48900608417944</v>
      </c>
      <c r="R5" s="8">
        <f t="shared" si="0"/>
        <v>361.48900608417944</v>
      </c>
      <c r="S5" s="8">
        <f t="shared" si="0"/>
        <v>361.48900608417944</v>
      </c>
      <c r="T5" s="8">
        <f t="shared" si="0"/>
        <v>361.48900608417944</v>
      </c>
      <c r="U5" s="8">
        <f t="shared" si="0"/>
        <v>361.48900608417944</v>
      </c>
      <c r="V5" s="8"/>
      <c r="W5" s="8"/>
      <c r="X5" s="8"/>
      <c r="Y5" s="8"/>
      <c r="Z5" s="8"/>
      <c r="AA5" s="8"/>
    </row>
    <row r="6" spans="1:27" x14ac:dyDescent="0.3">
      <c r="O6" t="s">
        <v>27</v>
      </c>
      <c r="P6" s="8"/>
      <c r="Q6" s="8"/>
      <c r="R6" s="8"/>
      <c r="S6" s="8"/>
      <c r="T6" s="8">
        <f>($D$15*$P$4)/5</f>
        <v>452.64710327062477</v>
      </c>
      <c r="U6" s="8">
        <f t="shared" ref="U6:X6" si="1">($D$15*$P$4)/5</f>
        <v>452.64710327062477</v>
      </c>
      <c r="V6" s="8">
        <f t="shared" si="1"/>
        <v>452.64710327062477</v>
      </c>
      <c r="W6" s="8">
        <f t="shared" si="1"/>
        <v>452.64710327062477</v>
      </c>
      <c r="X6" s="8">
        <f t="shared" si="1"/>
        <v>452.64710327062477</v>
      </c>
      <c r="Y6" s="8"/>
      <c r="Z6" s="8"/>
      <c r="AA6" s="8"/>
    </row>
    <row r="7" spans="1:27" x14ac:dyDescent="0.3">
      <c r="O7" t="s">
        <v>28</v>
      </c>
      <c r="P7" s="8">
        <f>($D$21*$P$4)/5</f>
        <v>377.2059193921873</v>
      </c>
      <c r="Q7" s="8">
        <f>($D$21*$P$4)/5</f>
        <v>377.2059193921873</v>
      </c>
      <c r="R7" s="8"/>
      <c r="S7" s="8"/>
      <c r="T7" s="8"/>
      <c r="U7" s="8"/>
      <c r="V7" s="8"/>
      <c r="W7" s="8"/>
      <c r="X7" s="8"/>
      <c r="Y7" s="8">
        <f>($D$21*$P$4)/5</f>
        <v>377.2059193921873</v>
      </c>
      <c r="Z7" s="8">
        <f>($D$21*$P$4)/5</f>
        <v>377.2059193921873</v>
      </c>
      <c r="AA7" s="8">
        <f>($D$21*$P$4)/5</f>
        <v>377.2059193921873</v>
      </c>
    </row>
    <row r="8" spans="1:27" x14ac:dyDescent="0.3">
      <c r="O8" t="s">
        <v>29</v>
      </c>
      <c r="P8" s="8"/>
      <c r="Q8" s="8"/>
      <c r="R8" s="8"/>
      <c r="S8" s="8"/>
      <c r="T8" s="8">
        <f>($D$24*$P$4)/6</f>
        <v>345.77209277617175</v>
      </c>
      <c r="U8" s="8">
        <f t="shared" ref="U8:Y8" si="2">($D$24*$P$4)/6</f>
        <v>345.77209277617175</v>
      </c>
      <c r="V8" s="8">
        <f t="shared" si="2"/>
        <v>345.77209277617175</v>
      </c>
      <c r="W8" s="8">
        <f t="shared" si="2"/>
        <v>345.77209277617175</v>
      </c>
      <c r="X8" s="8">
        <f t="shared" si="2"/>
        <v>345.77209277617175</v>
      </c>
      <c r="Y8" s="8">
        <f t="shared" si="2"/>
        <v>345.77209277617175</v>
      </c>
      <c r="Z8" s="8"/>
      <c r="AA8" s="8"/>
    </row>
    <row r="9" spans="1:27" x14ac:dyDescent="0.3">
      <c r="O9" t="s">
        <v>45</v>
      </c>
      <c r="P9">
        <f>$P$4*$D$18/12</f>
        <v>180.74450304208972</v>
      </c>
      <c r="Q9">
        <f t="shared" ref="Q9:AA9" si="3">$P$4*$D$18/12</f>
        <v>180.74450304208972</v>
      </c>
      <c r="R9">
        <f t="shared" si="3"/>
        <v>180.74450304208972</v>
      </c>
      <c r="S9">
        <f t="shared" si="3"/>
        <v>180.74450304208972</v>
      </c>
      <c r="T9">
        <f t="shared" si="3"/>
        <v>180.74450304208972</v>
      </c>
      <c r="U9">
        <f t="shared" si="3"/>
        <v>180.74450304208972</v>
      </c>
      <c r="V9">
        <f t="shared" si="3"/>
        <v>180.74450304208972</v>
      </c>
      <c r="W9">
        <f t="shared" si="3"/>
        <v>180.74450304208972</v>
      </c>
      <c r="X9">
        <f t="shared" si="3"/>
        <v>180.74450304208972</v>
      </c>
      <c r="Y9">
        <f t="shared" si="3"/>
        <v>180.74450304208972</v>
      </c>
      <c r="Z9">
        <f t="shared" si="3"/>
        <v>180.74450304208972</v>
      </c>
      <c r="AA9">
        <f t="shared" si="3"/>
        <v>180.74450304208972</v>
      </c>
    </row>
    <row r="11" spans="1:27" ht="15.6" x14ac:dyDescent="0.3">
      <c r="B11" s="4" t="s">
        <v>31</v>
      </c>
      <c r="C11" s="5" t="s">
        <v>32</v>
      </c>
      <c r="D11" s="6" t="s">
        <v>33</v>
      </c>
    </row>
    <row r="12" spans="1:27" x14ac:dyDescent="0.3">
      <c r="B12" t="s">
        <v>34</v>
      </c>
      <c r="C12" t="s">
        <v>35</v>
      </c>
      <c r="D12">
        <v>1.1499999999999999</v>
      </c>
    </row>
    <row r="13" spans="1:27" x14ac:dyDescent="0.3">
      <c r="B13" t="s">
        <v>34</v>
      </c>
      <c r="C13" t="s">
        <v>36</v>
      </c>
      <c r="D13">
        <v>1.1499999999999999</v>
      </c>
    </row>
    <row r="14" spans="1:27" x14ac:dyDescent="0.3">
      <c r="B14" t="s">
        <v>34</v>
      </c>
      <c r="C14" t="s">
        <v>37</v>
      </c>
      <c r="D14">
        <v>1.1499999999999999</v>
      </c>
    </row>
    <row r="15" spans="1:27" x14ac:dyDescent="0.3">
      <c r="B15" t="s">
        <v>38</v>
      </c>
      <c r="C15" t="s">
        <v>35</v>
      </c>
      <c r="D15">
        <v>1.2</v>
      </c>
    </row>
    <row r="16" spans="1:27" x14ac:dyDescent="0.3">
      <c r="B16" t="s">
        <v>38</v>
      </c>
      <c r="C16" t="s">
        <v>36</v>
      </c>
      <c r="D16">
        <v>1.2</v>
      </c>
    </row>
    <row r="17" spans="2:4" x14ac:dyDescent="0.3">
      <c r="B17" t="s">
        <v>38</v>
      </c>
      <c r="C17" t="s">
        <v>37</v>
      </c>
      <c r="D17">
        <v>1.2</v>
      </c>
    </row>
    <row r="18" spans="2:4" x14ac:dyDescent="0.3">
      <c r="B18" t="s">
        <v>39</v>
      </c>
      <c r="C18" t="s">
        <v>35</v>
      </c>
      <c r="D18">
        <v>1.1499999999999999</v>
      </c>
    </row>
    <row r="19" spans="2:4" x14ac:dyDescent="0.3">
      <c r="B19" t="s">
        <v>39</v>
      </c>
      <c r="C19" t="s">
        <v>36</v>
      </c>
      <c r="D19">
        <v>1.1499999999999999</v>
      </c>
    </row>
    <row r="20" spans="2:4" x14ac:dyDescent="0.3">
      <c r="B20" t="s">
        <v>39</v>
      </c>
      <c r="C20" t="s">
        <v>37</v>
      </c>
      <c r="D20">
        <v>1.1499999999999999</v>
      </c>
    </row>
    <row r="21" spans="2:4" x14ac:dyDescent="0.3">
      <c r="B21" t="s">
        <v>40</v>
      </c>
      <c r="C21" t="s">
        <v>35</v>
      </c>
      <c r="D21">
        <v>1</v>
      </c>
    </row>
    <row r="22" spans="2:4" x14ac:dyDescent="0.3">
      <c r="B22" t="s">
        <v>40</v>
      </c>
      <c r="C22" t="s">
        <v>36</v>
      </c>
      <c r="D22">
        <v>1</v>
      </c>
    </row>
    <row r="23" spans="2:4" x14ac:dyDescent="0.3">
      <c r="B23" t="s">
        <v>40</v>
      </c>
      <c r="C23" t="s">
        <v>37</v>
      </c>
      <c r="D23">
        <v>1</v>
      </c>
    </row>
    <row r="24" spans="2:4" x14ac:dyDescent="0.3">
      <c r="B24" t="s">
        <v>41</v>
      </c>
      <c r="C24" t="s">
        <v>35</v>
      </c>
      <c r="D24">
        <v>1.1000000000000001</v>
      </c>
    </row>
    <row r="25" spans="2:4" x14ac:dyDescent="0.3">
      <c r="B25" t="s">
        <v>41</v>
      </c>
      <c r="C25" t="s">
        <v>36</v>
      </c>
      <c r="D25">
        <v>1.1000000000000001</v>
      </c>
    </row>
    <row r="26" spans="2:4" x14ac:dyDescent="0.3">
      <c r="B26" t="s">
        <v>41</v>
      </c>
      <c r="C26" t="s">
        <v>37</v>
      </c>
      <c r="D26">
        <v>1.1000000000000001</v>
      </c>
    </row>
    <row r="27" spans="2:4" x14ac:dyDescent="0.3">
      <c r="B27" t="s">
        <v>42</v>
      </c>
      <c r="C27" t="s">
        <v>35</v>
      </c>
      <c r="D27">
        <v>1.1499999999999999</v>
      </c>
    </row>
    <row r="28" spans="2:4" x14ac:dyDescent="0.3">
      <c r="B28" t="s">
        <v>42</v>
      </c>
      <c r="C28" t="s">
        <v>36</v>
      </c>
      <c r="D28">
        <v>1.1499999999999999</v>
      </c>
    </row>
    <row r="29" spans="2:4" x14ac:dyDescent="0.3">
      <c r="B29" t="s">
        <v>42</v>
      </c>
      <c r="C29" t="s">
        <v>37</v>
      </c>
      <c r="D29">
        <v>1.1499999999999999</v>
      </c>
    </row>
    <row r="30" spans="2:4" x14ac:dyDescent="0.3">
      <c r="B30" t="s">
        <v>43</v>
      </c>
      <c r="C30" t="s">
        <v>35</v>
      </c>
      <c r="D30">
        <v>1.2</v>
      </c>
    </row>
    <row r="31" spans="2:4" x14ac:dyDescent="0.3">
      <c r="B31" t="s">
        <v>43</v>
      </c>
      <c r="C31" t="s">
        <v>36</v>
      </c>
      <c r="D31">
        <v>1.2</v>
      </c>
    </row>
    <row r="32" spans="2:4" x14ac:dyDescent="0.3">
      <c r="B32" t="s">
        <v>43</v>
      </c>
      <c r="C32" t="s">
        <v>37</v>
      </c>
      <c r="D32">
        <v>1.2</v>
      </c>
    </row>
    <row r="33" spans="2:4" ht="15.6" x14ac:dyDescent="0.3">
      <c r="B33" s="7" t="s">
        <v>44</v>
      </c>
      <c r="C33" t="s">
        <v>35</v>
      </c>
      <c r="D33">
        <v>1.1499999999999999</v>
      </c>
    </row>
    <row r="34" spans="2:4" ht="15.6" x14ac:dyDescent="0.3">
      <c r="B34" s="7" t="s">
        <v>44</v>
      </c>
      <c r="C34" t="s">
        <v>36</v>
      </c>
      <c r="D34">
        <v>1.1499999999999999</v>
      </c>
    </row>
    <row r="35" spans="2:4" ht="15.6" x14ac:dyDescent="0.3">
      <c r="B35" s="7" t="s">
        <v>44</v>
      </c>
      <c r="C35" t="s">
        <v>37</v>
      </c>
      <c r="D35">
        <v>1.1499999999999999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3F3F-3EC4-4DE6-BDA3-908A8B3DCFD9}">
  <dimension ref="A1:AA35"/>
  <sheetViews>
    <sheetView tabSelected="1" topLeftCell="N1" workbookViewId="0">
      <selection activeCell="P9" sqref="P9:AA9"/>
    </sheetView>
  </sheetViews>
  <sheetFormatPr baseColWidth="10" defaultRowHeight="14.4" x14ac:dyDescent="0.3"/>
  <cols>
    <col min="16" max="27" width="12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26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</row>
    <row r="2" spans="1:27" x14ac:dyDescent="0.3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27" x14ac:dyDescent="0.3">
      <c r="A3" s="2">
        <v>202326</v>
      </c>
      <c r="B3" s="3">
        <v>4.0856098352993513</v>
      </c>
      <c r="C3" s="3">
        <v>4.4878514428168783</v>
      </c>
      <c r="D3" s="3">
        <v>5.1439719301057121</v>
      </c>
      <c r="E3" s="3">
        <v>5.3429977144576473</v>
      </c>
      <c r="F3" s="3">
        <v>5.5700614674699471</v>
      </c>
      <c r="G3" s="3">
        <v>5.4885187499517212</v>
      </c>
      <c r="H3" s="3">
        <v>5.3147507118037822</v>
      </c>
      <c r="I3" s="3">
        <v>6.0748952058192653</v>
      </c>
      <c r="J3" s="3">
        <v>5.6933983991451784</v>
      </c>
      <c r="K3" s="3">
        <v>5.7932384814871831</v>
      </c>
      <c r="L3" s="3">
        <v>4.7552846859810449</v>
      </c>
      <c r="M3" s="3">
        <v>4.2098520478856178</v>
      </c>
      <c r="P3">
        <f>B3*31</f>
        <v>126.65390489427989</v>
      </c>
      <c r="Q3">
        <f>C3*28</f>
        <v>125.65984039887259</v>
      </c>
      <c r="R3">
        <f>D3*31</f>
        <v>159.46312983327707</v>
      </c>
      <c r="S3">
        <f>E3*30</f>
        <v>160.28993143372941</v>
      </c>
      <c r="T3">
        <f>F3*31</f>
        <v>172.67190549156837</v>
      </c>
      <c r="U3">
        <f>G3*30</f>
        <v>164.65556249855163</v>
      </c>
      <c r="V3">
        <f>H3*31</f>
        <v>164.75727206591725</v>
      </c>
      <c r="W3">
        <f>I3*31</f>
        <v>188.32175138039722</v>
      </c>
      <c r="X3">
        <f>J3*30</f>
        <v>170.80195197435535</v>
      </c>
      <c r="Y3">
        <f>K3*31</f>
        <v>179.59039292610268</v>
      </c>
      <c r="Z3">
        <f>L3*30</f>
        <v>142.65854057943136</v>
      </c>
      <c r="AA3">
        <f>M3*31</f>
        <v>130.50541348445415</v>
      </c>
    </row>
    <row r="4" spans="1:27" x14ac:dyDescent="0.3">
      <c r="A4" s="2">
        <v>202385</v>
      </c>
      <c r="B4" s="3">
        <v>4.0856098352993513</v>
      </c>
      <c r="C4" s="3">
        <v>4.4878514428168783</v>
      </c>
      <c r="D4" s="3">
        <v>5.1439719301057121</v>
      </c>
      <c r="E4" s="3">
        <v>5.3429977144576473</v>
      </c>
      <c r="F4" s="3">
        <v>5.5700614674699471</v>
      </c>
      <c r="G4" s="3">
        <v>5.4885187499517212</v>
      </c>
      <c r="H4" s="3">
        <v>5.3147507118037822</v>
      </c>
      <c r="I4" s="3">
        <v>6.0748952058192653</v>
      </c>
      <c r="J4" s="3">
        <v>5.6933983991451784</v>
      </c>
      <c r="K4" s="3">
        <v>5.7932384814871831</v>
      </c>
      <c r="L4" s="3">
        <v>4.7552846859810449</v>
      </c>
      <c r="M4" s="3">
        <v>4.2098520478856178</v>
      </c>
      <c r="P4">
        <f>SUM(P3:AA3)</f>
        <v>1886.0295969609365</v>
      </c>
    </row>
    <row r="5" spans="1:27" x14ac:dyDescent="0.3">
      <c r="O5" t="s">
        <v>30</v>
      </c>
      <c r="P5" s="8">
        <f>($D$18*$P$4)/12</f>
        <v>180.74450304208972</v>
      </c>
      <c r="Q5" s="8">
        <f>(1.15*$P$4)/12</f>
        <v>180.74450304208972</v>
      </c>
      <c r="R5" s="8">
        <f t="shared" ref="R5" si="0">($D$18*$P$4)/12</f>
        <v>180.74450304208972</v>
      </c>
      <c r="S5" s="8">
        <f t="shared" ref="S5" si="1">(1.15*$P$4)/12</f>
        <v>180.74450304208972</v>
      </c>
      <c r="T5" s="8">
        <f t="shared" ref="T5" si="2">($D$18*$P$4)/12</f>
        <v>180.74450304208972</v>
      </c>
      <c r="U5" s="8">
        <f t="shared" ref="U5" si="3">(1.15*$P$4)/12</f>
        <v>180.74450304208972</v>
      </c>
      <c r="V5" s="8">
        <f t="shared" ref="V5" si="4">($D$18*$P$4)/12</f>
        <v>180.74450304208972</v>
      </c>
      <c r="W5" s="8">
        <f t="shared" ref="W5" si="5">(1.15*$P$4)/12</f>
        <v>180.74450304208972</v>
      </c>
      <c r="X5" s="8">
        <f t="shared" ref="X5" si="6">($D$18*$P$4)/12</f>
        <v>180.74450304208972</v>
      </c>
      <c r="Y5" s="8">
        <f t="shared" ref="Y5" si="7">(1.15*$P$4)/12</f>
        <v>180.74450304208972</v>
      </c>
      <c r="Z5" s="8">
        <f t="shared" ref="Z5" si="8">($D$18*$P$4)/12</f>
        <v>180.74450304208972</v>
      </c>
      <c r="AA5" s="8">
        <f t="shared" ref="AA5" si="9">(1.15*$P$4)/12</f>
        <v>180.74450304208972</v>
      </c>
    </row>
    <row r="6" spans="1:27" x14ac:dyDescent="0.3">
      <c r="A6" s="2">
        <v>202326</v>
      </c>
      <c r="B6" s="3">
        <v>3.7924896485559709</v>
      </c>
      <c r="C6" s="3">
        <v>4.2235603214790469</v>
      </c>
      <c r="D6" s="3">
        <v>4.4536675295530488</v>
      </c>
      <c r="E6" s="3">
        <v>4.9472342353417531</v>
      </c>
      <c r="F6" s="3">
        <v>5.4828968941514384</v>
      </c>
      <c r="G6" s="3">
        <v>5.4845831768437394</v>
      </c>
      <c r="H6" s="3">
        <v>5.2720694069321228</v>
      </c>
      <c r="I6" s="3">
        <v>5.7490069702177298</v>
      </c>
      <c r="J6" s="3">
        <v>5.8931343694267984</v>
      </c>
      <c r="K6" s="3">
        <v>5.4900616180169353</v>
      </c>
      <c r="L6" s="3">
        <v>4.0961774620245954</v>
      </c>
      <c r="M6" s="3">
        <v>4.1879019359007872</v>
      </c>
      <c r="O6" t="s">
        <v>27</v>
      </c>
      <c r="P6" s="8">
        <f t="shared" ref="P6:S6" si="10">($D$15*$P$4)/12</f>
        <v>188.60295969609365</v>
      </c>
      <c r="Q6" s="8">
        <f t="shared" si="10"/>
        <v>188.60295969609365</v>
      </c>
      <c r="R6" s="8">
        <f t="shared" si="10"/>
        <v>188.60295969609365</v>
      </c>
      <c r="S6" s="8">
        <f t="shared" si="10"/>
        <v>188.60295969609365</v>
      </c>
      <c r="T6" s="8">
        <f>($D$15*$P$4)/12</f>
        <v>188.60295969609365</v>
      </c>
      <c r="U6" s="8">
        <f t="shared" ref="U6:AA6" si="11">($D$15*$P$4)/12</f>
        <v>188.60295969609365</v>
      </c>
      <c r="V6" s="8">
        <f t="shared" si="11"/>
        <v>188.60295969609365</v>
      </c>
      <c r="W6" s="8">
        <f t="shared" si="11"/>
        <v>188.60295969609365</v>
      </c>
      <c r="X6" s="8">
        <f t="shared" si="11"/>
        <v>188.60295969609365</v>
      </c>
      <c r="Y6" s="8">
        <f t="shared" si="11"/>
        <v>188.60295969609365</v>
      </c>
      <c r="Z6" s="8">
        <f t="shared" si="11"/>
        <v>188.60295969609365</v>
      </c>
      <c r="AA6" s="8">
        <f t="shared" si="11"/>
        <v>188.60295969609365</v>
      </c>
    </row>
    <row r="7" spans="1:27" x14ac:dyDescent="0.3">
      <c r="O7" t="s">
        <v>28</v>
      </c>
      <c r="P7" s="8">
        <f>($D$21*$P$4)/12</f>
        <v>157.16913308007804</v>
      </c>
      <c r="Q7" s="8">
        <f>($D$21*$P$4)/12</f>
        <v>157.16913308007804</v>
      </c>
      <c r="R7" s="8">
        <f t="shared" ref="R7:AA7" si="12">($D$21*$P$4)/12</f>
        <v>157.16913308007804</v>
      </c>
      <c r="S7" s="8">
        <f t="shared" si="12"/>
        <v>157.16913308007804</v>
      </c>
      <c r="T7" s="8">
        <f t="shared" si="12"/>
        <v>157.16913308007804</v>
      </c>
      <c r="U7" s="8">
        <f t="shared" si="12"/>
        <v>157.16913308007804</v>
      </c>
      <c r="V7" s="8">
        <f t="shared" si="12"/>
        <v>157.16913308007804</v>
      </c>
      <c r="W7" s="8">
        <f t="shared" si="12"/>
        <v>157.16913308007804</v>
      </c>
      <c r="X7" s="8">
        <f t="shared" si="12"/>
        <v>157.16913308007804</v>
      </c>
      <c r="Y7" s="8">
        <f t="shared" si="12"/>
        <v>157.16913308007804</v>
      </c>
      <c r="Z7" s="8">
        <f t="shared" si="12"/>
        <v>157.16913308007804</v>
      </c>
      <c r="AA7" s="8">
        <f t="shared" si="12"/>
        <v>157.16913308007804</v>
      </c>
    </row>
    <row r="8" spans="1:27" x14ac:dyDescent="0.3">
      <c r="O8" t="s">
        <v>29</v>
      </c>
      <c r="P8" s="8">
        <f>($D$24*$P$4)/12</f>
        <v>172.88604638808587</v>
      </c>
      <c r="Q8" s="8">
        <f t="shared" ref="Q8:AA8" si="13">($D$24*$P$4)/12</f>
        <v>172.88604638808587</v>
      </c>
      <c r="R8" s="8">
        <f t="shared" si="13"/>
        <v>172.88604638808587</v>
      </c>
      <c r="S8" s="8">
        <f t="shared" si="13"/>
        <v>172.88604638808587</v>
      </c>
      <c r="T8" s="8">
        <f t="shared" si="13"/>
        <v>172.88604638808587</v>
      </c>
      <c r="U8" s="8">
        <f t="shared" si="13"/>
        <v>172.88604638808587</v>
      </c>
      <c r="V8" s="8">
        <f t="shared" si="13"/>
        <v>172.88604638808587</v>
      </c>
      <c r="W8" s="8">
        <f t="shared" si="13"/>
        <v>172.88604638808587</v>
      </c>
      <c r="X8" s="8">
        <f t="shared" si="13"/>
        <v>172.88604638808587</v>
      </c>
      <c r="Y8" s="8">
        <f t="shared" si="13"/>
        <v>172.88604638808587</v>
      </c>
      <c r="Z8" s="8">
        <f t="shared" si="13"/>
        <v>172.88604638808587</v>
      </c>
      <c r="AA8" s="8">
        <f t="shared" si="13"/>
        <v>172.88604638808587</v>
      </c>
    </row>
    <row r="9" spans="1:27" x14ac:dyDescent="0.3">
      <c r="O9" t="s">
        <v>45</v>
      </c>
      <c r="P9">
        <f>$P$4*$D$18/12</f>
        <v>180.74450304208972</v>
      </c>
      <c r="Q9">
        <f t="shared" ref="Q9:AA9" si="14">$P$4*$D$18/12</f>
        <v>180.74450304208972</v>
      </c>
      <c r="R9">
        <f t="shared" si="14"/>
        <v>180.74450304208972</v>
      </c>
      <c r="S9">
        <f t="shared" si="14"/>
        <v>180.74450304208972</v>
      </c>
      <c r="T9">
        <f t="shared" si="14"/>
        <v>180.74450304208972</v>
      </c>
      <c r="U9">
        <f t="shared" si="14"/>
        <v>180.74450304208972</v>
      </c>
      <c r="V9">
        <f t="shared" si="14"/>
        <v>180.74450304208972</v>
      </c>
      <c r="W9">
        <f t="shared" si="14"/>
        <v>180.74450304208972</v>
      </c>
      <c r="X9">
        <f t="shared" si="14"/>
        <v>180.74450304208972</v>
      </c>
      <c r="Y9">
        <f t="shared" si="14"/>
        <v>180.74450304208972</v>
      </c>
      <c r="Z9">
        <f t="shared" si="14"/>
        <v>180.74450304208972</v>
      </c>
      <c r="AA9">
        <f t="shared" si="14"/>
        <v>180.74450304208972</v>
      </c>
    </row>
    <row r="11" spans="1:27" ht="15.6" x14ac:dyDescent="0.3">
      <c r="B11" s="4" t="s">
        <v>31</v>
      </c>
      <c r="C11" s="5" t="s">
        <v>32</v>
      </c>
      <c r="D11" s="6" t="s">
        <v>33</v>
      </c>
    </row>
    <row r="12" spans="1:27" x14ac:dyDescent="0.3">
      <c r="B12" t="s">
        <v>34</v>
      </c>
      <c r="C12" t="s">
        <v>35</v>
      </c>
      <c r="D12">
        <v>1.1499999999999999</v>
      </c>
    </row>
    <row r="13" spans="1:27" x14ac:dyDescent="0.3">
      <c r="B13" t="s">
        <v>34</v>
      </c>
      <c r="C13" t="s">
        <v>36</v>
      </c>
      <c r="D13">
        <v>1.1499999999999999</v>
      </c>
    </row>
    <row r="14" spans="1:27" x14ac:dyDescent="0.3">
      <c r="B14" t="s">
        <v>34</v>
      </c>
      <c r="C14" t="s">
        <v>37</v>
      </c>
      <c r="D14">
        <v>1.1499999999999999</v>
      </c>
    </row>
    <row r="15" spans="1:27" x14ac:dyDescent="0.3">
      <c r="B15" t="s">
        <v>38</v>
      </c>
      <c r="C15" t="s">
        <v>35</v>
      </c>
      <c r="D15">
        <v>1.2</v>
      </c>
    </row>
    <row r="16" spans="1:27" x14ac:dyDescent="0.3">
      <c r="B16" t="s">
        <v>38</v>
      </c>
      <c r="C16" t="s">
        <v>36</v>
      </c>
      <c r="D16">
        <v>1.2</v>
      </c>
    </row>
    <row r="17" spans="2:4" x14ac:dyDescent="0.3">
      <c r="B17" t="s">
        <v>38</v>
      </c>
      <c r="C17" t="s">
        <v>37</v>
      </c>
      <c r="D17">
        <v>1.2</v>
      </c>
    </row>
    <row r="18" spans="2:4" x14ac:dyDescent="0.3">
      <c r="B18" t="s">
        <v>39</v>
      </c>
      <c r="C18" t="s">
        <v>35</v>
      </c>
      <c r="D18">
        <v>1.1499999999999999</v>
      </c>
    </row>
    <row r="19" spans="2:4" x14ac:dyDescent="0.3">
      <c r="B19" t="s">
        <v>39</v>
      </c>
      <c r="C19" t="s">
        <v>36</v>
      </c>
      <c r="D19">
        <v>1.1499999999999999</v>
      </c>
    </row>
    <row r="20" spans="2:4" x14ac:dyDescent="0.3">
      <c r="B20" t="s">
        <v>39</v>
      </c>
      <c r="C20" t="s">
        <v>37</v>
      </c>
      <c r="D20">
        <v>1.1499999999999999</v>
      </c>
    </row>
    <row r="21" spans="2:4" x14ac:dyDescent="0.3">
      <c r="B21" t="s">
        <v>40</v>
      </c>
      <c r="C21" t="s">
        <v>35</v>
      </c>
      <c r="D21">
        <v>1</v>
      </c>
    </row>
    <row r="22" spans="2:4" x14ac:dyDescent="0.3">
      <c r="B22" t="s">
        <v>40</v>
      </c>
      <c r="C22" t="s">
        <v>36</v>
      </c>
      <c r="D22">
        <v>1</v>
      </c>
    </row>
    <row r="23" spans="2:4" x14ac:dyDescent="0.3">
      <c r="B23" t="s">
        <v>40</v>
      </c>
      <c r="C23" t="s">
        <v>37</v>
      </c>
      <c r="D23">
        <v>1</v>
      </c>
    </row>
    <row r="24" spans="2:4" x14ac:dyDescent="0.3">
      <c r="B24" t="s">
        <v>41</v>
      </c>
      <c r="C24" t="s">
        <v>35</v>
      </c>
      <c r="D24">
        <v>1.1000000000000001</v>
      </c>
    </row>
    <row r="25" spans="2:4" x14ac:dyDescent="0.3">
      <c r="B25" t="s">
        <v>41</v>
      </c>
      <c r="C25" t="s">
        <v>36</v>
      </c>
      <c r="D25">
        <v>1.1000000000000001</v>
      </c>
    </row>
    <row r="26" spans="2:4" x14ac:dyDescent="0.3">
      <c r="B26" t="s">
        <v>41</v>
      </c>
      <c r="C26" t="s">
        <v>37</v>
      </c>
      <c r="D26">
        <v>1.1000000000000001</v>
      </c>
    </row>
    <row r="27" spans="2:4" x14ac:dyDescent="0.3">
      <c r="B27" t="s">
        <v>42</v>
      </c>
      <c r="C27" t="s">
        <v>35</v>
      </c>
      <c r="D27">
        <v>1.1499999999999999</v>
      </c>
    </row>
    <row r="28" spans="2:4" x14ac:dyDescent="0.3">
      <c r="B28" t="s">
        <v>42</v>
      </c>
      <c r="C28" t="s">
        <v>36</v>
      </c>
      <c r="D28">
        <v>1.1499999999999999</v>
      </c>
    </row>
    <row r="29" spans="2:4" x14ac:dyDescent="0.3">
      <c r="B29" t="s">
        <v>42</v>
      </c>
      <c r="C29" t="s">
        <v>37</v>
      </c>
      <c r="D29">
        <v>1.1499999999999999</v>
      </c>
    </row>
    <row r="30" spans="2:4" x14ac:dyDescent="0.3">
      <c r="B30" t="s">
        <v>43</v>
      </c>
      <c r="C30" t="s">
        <v>35</v>
      </c>
      <c r="D30">
        <v>1.2</v>
      </c>
    </row>
    <row r="31" spans="2:4" x14ac:dyDescent="0.3">
      <c r="B31" t="s">
        <v>43</v>
      </c>
      <c r="C31" t="s">
        <v>36</v>
      </c>
      <c r="D31">
        <v>1.2</v>
      </c>
    </row>
    <row r="32" spans="2:4" x14ac:dyDescent="0.3">
      <c r="B32" t="s">
        <v>43</v>
      </c>
      <c r="C32" t="s">
        <v>37</v>
      </c>
      <c r="D32">
        <v>1.2</v>
      </c>
    </row>
    <row r="33" spans="2:4" ht="15.6" x14ac:dyDescent="0.3">
      <c r="B33" s="7" t="s">
        <v>44</v>
      </c>
      <c r="C33" t="s">
        <v>35</v>
      </c>
      <c r="D33">
        <v>1.1499999999999999</v>
      </c>
    </row>
    <row r="34" spans="2:4" ht="15.6" x14ac:dyDescent="0.3">
      <c r="B34" s="7" t="s">
        <v>44</v>
      </c>
      <c r="C34" t="s">
        <v>36</v>
      </c>
      <c r="D34">
        <v>1.1499999999999999</v>
      </c>
    </row>
    <row r="35" spans="2:4" ht="15.6" x14ac:dyDescent="0.3">
      <c r="B35" s="7" t="s">
        <v>44</v>
      </c>
      <c r="C35" t="s">
        <v>37</v>
      </c>
      <c r="D35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Cuilleret</dc:creator>
  <cp:lastModifiedBy>Mathieu Cuilleret</cp:lastModifiedBy>
  <dcterms:created xsi:type="dcterms:W3CDTF">2026-05-21T08:27:28Z</dcterms:created>
  <dcterms:modified xsi:type="dcterms:W3CDTF">2026-05-21T13:00:24Z</dcterms:modified>
</cp:coreProperties>
</file>