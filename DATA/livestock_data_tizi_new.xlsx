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\DATA\"/>
    </mc:Choice>
  </mc:AlternateContent>
  <xr:revisionPtr revIDLastSave="0" documentId="13_ncr:1_{66B0AE2A-5DE5-413F-8953-6C0A60A57F3F}" xr6:coauthVersionLast="47" xr6:coauthVersionMax="47" xr10:uidLastSave="{00000000-0000-0000-0000-000000000000}"/>
  <bookViews>
    <workbookView xWindow="-108" yWindow="-108" windowWidth="23256" windowHeight="13896" activeTab="1" xr2:uid="{2CA508F2-5245-4200-B411-B44F11EF2E54}"/>
  </bookViews>
  <sheets>
    <sheet name="index" sheetId="4" r:id="rId1"/>
    <sheet name="Livestock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3" i="11" l="1"/>
  <c r="AG18" i="11"/>
  <c r="AG13" i="11"/>
  <c r="AG8" i="11"/>
</calcChain>
</file>

<file path=xl/sharedStrings.xml><?xml version="1.0" encoding="utf-8"?>
<sst xmlns="http://schemas.openxmlformats.org/spreadsheetml/2006/main" count="1237" uniqueCount="124">
  <si>
    <t>p_BirthRate</t>
  </si>
  <si>
    <t>p_MortalityRate</t>
  </si>
  <si>
    <t>p_LaborReq</t>
  </si>
  <si>
    <t>p_prot_metab</t>
  </si>
  <si>
    <t>p_ca</t>
  </si>
  <si>
    <t>p_initPopulation</t>
  </si>
  <si>
    <t>beef</t>
  </si>
  <si>
    <t>sheep</t>
  </si>
  <si>
    <t>dairy</t>
  </si>
  <si>
    <t>feedc</t>
  </si>
  <si>
    <t>p_grossenergy_feed</t>
  </si>
  <si>
    <t>Dim</t>
  </si>
  <si>
    <t>Rdim</t>
  </si>
  <si>
    <t>Cdim</t>
  </si>
  <si>
    <t>Values</t>
  </si>
  <si>
    <t>par</t>
  </si>
  <si>
    <t>p_DataLive</t>
  </si>
  <si>
    <t>index Survey Data</t>
  </si>
  <si>
    <t>p_othCostLivestock</t>
  </si>
  <si>
    <t>p_costVeterinary</t>
  </si>
  <si>
    <t>p_AdditionalCostLivestock</t>
  </si>
  <si>
    <t>set</t>
  </si>
  <si>
    <t>p_feedReq</t>
  </si>
  <si>
    <t>goat_meat</t>
  </si>
  <si>
    <t>goat_milk</t>
  </si>
  <si>
    <t>hh</t>
  </si>
  <si>
    <t>hh_1</t>
  </si>
  <si>
    <t>barley_straw</t>
  </si>
  <si>
    <t>product</t>
  </si>
  <si>
    <t>manure</t>
  </si>
  <si>
    <t>bovmeat</t>
  </si>
  <si>
    <t>goatmeat</t>
  </si>
  <si>
    <t>sheepmeat</t>
  </si>
  <si>
    <t>srumnmilk</t>
  </si>
  <si>
    <t>p_selPriceLivestock_raw</t>
  </si>
  <si>
    <t>liveanimal</t>
  </si>
  <si>
    <t>p_yieldLivestock_raw</t>
  </si>
  <si>
    <t>bovmilk</t>
  </si>
  <si>
    <t>yield</t>
  </si>
  <si>
    <t>akmilk</t>
  </si>
  <si>
    <t>akmeat</t>
  </si>
  <si>
    <t>ak</t>
  </si>
  <si>
    <t>Feed use sources</t>
  </si>
  <si>
    <t>age</t>
  </si>
  <si>
    <t>type_animal</t>
  </si>
  <si>
    <t>Age</t>
  </si>
  <si>
    <t>Age possible</t>
  </si>
  <si>
    <t>Type_animal</t>
  </si>
  <si>
    <t>Minimum require of food</t>
  </si>
  <si>
    <t>Livestock price of inputs and outputs</t>
  </si>
  <si>
    <t>Livestock yield of inputs and outputs</t>
  </si>
  <si>
    <t>output</t>
  </si>
  <si>
    <t>Livestock data</t>
  </si>
  <si>
    <t>Household</t>
  </si>
  <si>
    <t>Type of animal</t>
  </si>
  <si>
    <t>age of the animal</t>
  </si>
  <si>
    <t>p_feed_price</t>
  </si>
  <si>
    <t>gross_energy</t>
  </si>
  <si>
    <t>protein</t>
  </si>
  <si>
    <t>p_protein_feed</t>
  </si>
  <si>
    <t>Gross energy content of feed</t>
  </si>
  <si>
    <t>Protein content of feed</t>
  </si>
  <si>
    <t>dry_matter</t>
  </si>
  <si>
    <t>p_drymatter_feed</t>
  </si>
  <si>
    <t>Dry matter content of feed</t>
  </si>
  <si>
    <t>p_feed_price_LocalCur</t>
  </si>
  <si>
    <t>Milk product</t>
  </si>
  <si>
    <t>Livestock types</t>
  </si>
  <si>
    <t>Livestock!A4</t>
  </si>
  <si>
    <t>Livestock!C4</t>
  </si>
  <si>
    <t>Meat product</t>
  </si>
  <si>
    <t>Animal product</t>
  </si>
  <si>
    <t>Livestock!B4</t>
  </si>
  <si>
    <t>Livestock!D4</t>
  </si>
  <si>
    <t>Livestock!E4</t>
  </si>
  <si>
    <t>Livestock!F4</t>
  </si>
  <si>
    <t>Livestock!M4:Z5000</t>
  </si>
  <si>
    <t>Feed price</t>
  </si>
  <si>
    <t>Livestock!AE4:AG5000</t>
  </si>
  <si>
    <t>Livestock!G4:H5000</t>
  </si>
  <si>
    <t>Livestock!I4:J5000</t>
  </si>
  <si>
    <t>Livestock!K4:L5000</t>
  </si>
  <si>
    <t>Livestock!AA5:AD5000</t>
  </si>
  <si>
    <t xml:space="preserve">Sets </t>
  </si>
  <si>
    <t>Litterature-online data</t>
  </si>
  <si>
    <t>Survey data</t>
  </si>
  <si>
    <t>Expert data</t>
  </si>
  <si>
    <t>Calibration - modeling</t>
  </si>
  <si>
    <t xml:space="preserve">Annual mortality rate </t>
  </si>
  <si>
    <t>Output of the animal</t>
  </si>
  <si>
    <t>Price per kg of output</t>
  </si>
  <si>
    <t>Type of feed</t>
  </si>
  <si>
    <t>Quantity of output kg per head</t>
  </si>
  <si>
    <t>Yearly cost per veterinary</t>
  </si>
  <si>
    <t>Yearly additional cost linked to livestock</t>
  </si>
  <si>
    <t>Yearly other variable cost</t>
  </si>
  <si>
    <t>Initial population of animal</t>
  </si>
  <si>
    <t>Protein metabolism parameter</t>
  </si>
  <si>
    <t>https://www.feedipedia.org/</t>
  </si>
  <si>
    <t xml:space="preserve">https://www.feedipedia.org/ </t>
  </si>
  <si>
    <t>coefficient of activity parameter</t>
  </si>
  <si>
    <t>Mapping feed type of animal</t>
  </si>
  <si>
    <t>animal_feed</t>
  </si>
  <si>
    <t>Quantity of calories per head per year</t>
  </si>
  <si>
    <t>Quantity of protein per heads per year</t>
  </si>
  <si>
    <t>Quantity dry matter per animal per year</t>
  </si>
  <si>
    <t>% of dry matter in feed</t>
  </si>
  <si>
    <t>% of protein in feed</t>
  </si>
  <si>
    <t>MJ/kg in kg</t>
  </si>
  <si>
    <t>Output of the animal in kg</t>
  </si>
  <si>
    <t>price in TND</t>
  </si>
  <si>
    <t>eps</t>
  </si>
  <si>
    <t>Livestock!AH4:AL5000</t>
  </si>
  <si>
    <t>Livestock!AM4:AP5000</t>
  </si>
  <si>
    <t>Livestock!AQ4:AR5000</t>
  </si>
  <si>
    <t xml:space="preserve">Birthrate number </t>
  </si>
  <si>
    <t>Quantity of day of labor per animal per year</t>
  </si>
  <si>
    <t>hh_3</t>
  </si>
  <si>
    <t>hh_4</t>
  </si>
  <si>
    <t>hh_5</t>
  </si>
  <si>
    <t>alfalfa</t>
  </si>
  <si>
    <t>clover</t>
  </si>
  <si>
    <t>sorgum</t>
  </si>
  <si>
    <t>favabean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</si>
</sst>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FBD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4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7">
    <xf numFmtId="0" fontId="0" fillId="0" borderId="0" xfId="0"/>
    <xf numFmtId="0" fontId="10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11" fillId="0" borderId="0" xfId="23" applyFont="1"/>
    <xf numFmtId="0" fontId="12" fillId="0" borderId="0" xfId="0" applyFont="1"/>
    <xf numFmtId="0" fontId="7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5" fillId="0" borderId="9" xfId="36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3" fillId="0" borderId="6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0" xfId="0" applyBorder="1"/>
    <xf numFmtId="0" fontId="16" fillId="5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0" fillId="7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10" fillId="3" borderId="9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4" fillId="0" borderId="0" xfId="0" applyFont="1"/>
    <xf numFmtId="0" fontId="4" fillId="9" borderId="0" xfId="0" applyFont="1" applyFill="1" applyAlignment="1">
      <alignment horizontal="right" vertical="top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37">
    <cellStyle name="Answer Codes" xfId="2" xr:uid="{D20AC866-E9FD-414F-8B7C-AEC457D32BBC}"/>
    <cellStyle name="Comma 2" xfId="24" xr:uid="{7D895A8E-A4AF-4849-9A60-CC2E0ED68395}"/>
    <cellStyle name="Comma 3" xfId="25" xr:uid="{A137275A-C3C5-472A-8710-A492B7DD5F16}"/>
    <cellStyle name="Comma 3 2" xfId="33" xr:uid="{6CBF99F6-C2A3-47FD-A9AD-1188FB5C8BF6}"/>
    <cellStyle name="Comma 4" xfId="26" xr:uid="{DBA5D51C-184C-40B2-8C75-33945F6E4782}"/>
    <cellStyle name="Comma 4 2" xfId="27" xr:uid="{E36C56E8-C1A4-47DA-8FE5-A3C2EF145C03}"/>
    <cellStyle name="Comma 4 2 2" xfId="35" xr:uid="{96EC32B3-B781-42A7-850B-6B35E2283387}"/>
    <cellStyle name="Comma 4 3" xfId="34" xr:uid="{182D7FC9-A058-4179-9BA3-555B075C03F0}"/>
    <cellStyle name="Lien hypertexte" xfId="36" builtinId="8"/>
    <cellStyle name="Millares 2" xfId="1" xr:uid="{EED3EAB9-7C10-4518-953F-62AC0C73B9FB}"/>
    <cellStyle name="Millares 2 2" xfId="29" xr:uid="{4C1FCB10-CE06-457D-82BC-9D7735C3D178}"/>
    <cellStyle name="Normal" xfId="0" builtinId="0"/>
    <cellStyle name="Normal 10" xfId="3" xr:uid="{1409F228-483E-44D3-875C-E3AFA4A41736}"/>
    <cellStyle name="Normal 10 2" xfId="4" xr:uid="{ED9D1822-8085-4C8D-A507-5629955DCA1A}"/>
    <cellStyle name="Normal 11" xfId="28" xr:uid="{A318EFAC-EBCC-4716-AB7B-737563911BBB}"/>
    <cellStyle name="Normal 2" xfId="5" xr:uid="{ACE95FF5-43D0-48F7-A8ED-A8C14494D94C}"/>
    <cellStyle name="Normal 2 2" xfId="6" xr:uid="{7CFCB9DC-485E-4F40-BF27-6BEC9173B940}"/>
    <cellStyle name="Normal 2 2 2" xfId="30" xr:uid="{857D1589-7ECD-47A3-932E-E3AF21176F7A}"/>
    <cellStyle name="Normal 3" xfId="7" xr:uid="{E21D6D03-6DD2-4C6E-B935-BF6F969D0063}"/>
    <cellStyle name="Normal 3 2" xfId="8" xr:uid="{6895807F-2D99-4F2D-9321-A60084185672}"/>
    <cellStyle name="Normal 3 2 2" xfId="9" xr:uid="{B56D7411-6E6A-4EB6-8AB3-5CB4D65D1451}"/>
    <cellStyle name="Normal 3 3" xfId="10" xr:uid="{A8C882C6-DCDE-47AD-A414-5939CCFF51DE}"/>
    <cellStyle name="Normal 3 3 2" xfId="11" xr:uid="{E31250EE-4C43-4ED8-B1AC-2853810C30F8}"/>
    <cellStyle name="Normal 3 4" xfId="12" xr:uid="{E6A2723E-33F8-4DF6-9DD7-EBA66913C77B}"/>
    <cellStyle name="Normal 3 5" xfId="13" xr:uid="{F4B4DBC8-FD04-4E43-B0BD-CBAAC8C9D5C2}"/>
    <cellStyle name="Normal 4" xfId="14" xr:uid="{1556DF1F-0FE2-4B80-BC7A-95054B7E2069}"/>
    <cellStyle name="Normal 4 2" xfId="15" xr:uid="{1D2FBC37-D726-4147-88C7-1B1BD429928A}"/>
    <cellStyle name="Normal 4 2 2" xfId="32" xr:uid="{08F5050F-D0C1-4000-97ED-41046DF38C93}"/>
    <cellStyle name="Normal 4 3" xfId="16" xr:uid="{1BC935DC-5B3E-4D51-9C40-63AC8991DC38}"/>
    <cellStyle name="Normal 4 4" xfId="31" xr:uid="{B7A1DA0F-DE5F-46AD-98E2-FD7A988B92FA}"/>
    <cellStyle name="Normal 5" xfId="17" xr:uid="{9472B1C3-87D6-49BC-8BD3-28285034C5E3}"/>
    <cellStyle name="Normal 6" xfId="18" xr:uid="{5497F09B-03D1-4F30-8205-35CF2739C52F}"/>
    <cellStyle name="Normal 6 2" xfId="19" xr:uid="{AB3CC09C-39CC-494F-98F9-B11043E918DE}"/>
    <cellStyle name="Normal 7" xfId="20" xr:uid="{4CADDECE-A7C6-409C-A0BD-6C5A6CBEB2AF}"/>
    <cellStyle name="Normal 8" xfId="21" xr:uid="{713F4CBF-E7D0-473D-A95A-3F191D9C9657}"/>
    <cellStyle name="Normal 9" xfId="22" xr:uid="{61C5D2C6-E4F2-4B64-B63C-1E36E29FE08B}"/>
    <cellStyle name="Standard_Crops" xfId="23" xr:uid="{8A8605E1-85A7-4940-B248-1B03B9BB2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C990-9848-4795-961F-C29B2ADA765E}">
  <dimension ref="A1:G18"/>
  <sheetViews>
    <sheetView workbookViewId="0">
      <selection activeCell="E13" sqref="E13"/>
    </sheetView>
  </sheetViews>
  <sheetFormatPr baseColWidth="10" defaultColWidth="11.44140625" defaultRowHeight="14.4" x14ac:dyDescent="0.3"/>
  <cols>
    <col min="2" max="2" width="30.5546875" style="7" customWidth="1"/>
    <col min="3" max="3" width="34.33203125" customWidth="1"/>
  </cols>
  <sheetData>
    <row r="1" spans="1:7" ht="15.6" x14ac:dyDescent="0.3">
      <c r="A1" s="6" t="s">
        <v>17</v>
      </c>
      <c r="B1" s="5"/>
      <c r="C1" s="5"/>
      <c r="D1" s="5"/>
      <c r="E1" s="5"/>
      <c r="F1" s="5"/>
      <c r="G1" s="3"/>
    </row>
    <row r="2" spans="1:7" ht="15.6" x14ac:dyDescent="0.3">
      <c r="A2" s="5"/>
      <c r="B2" s="5"/>
      <c r="C2" s="5"/>
      <c r="D2" s="5"/>
      <c r="E2" s="5"/>
      <c r="F2" s="5"/>
      <c r="G2" s="3"/>
    </row>
    <row r="3" spans="1:7" s="2" customFormat="1" ht="15.6" x14ac:dyDescent="0.3">
      <c r="A3" s="5"/>
      <c r="B3" s="5"/>
      <c r="C3" s="5"/>
      <c r="D3" s="4" t="s">
        <v>11</v>
      </c>
      <c r="E3" s="4" t="s">
        <v>12</v>
      </c>
      <c r="F3" s="1" t="s">
        <v>13</v>
      </c>
      <c r="G3" s="5" t="s">
        <v>14</v>
      </c>
    </row>
    <row r="4" spans="1:7" ht="15.6" x14ac:dyDescent="0.3">
      <c r="A4" s="5" t="s">
        <v>21</v>
      </c>
      <c r="B4" s="5" t="s">
        <v>41</v>
      </c>
      <c r="C4" s="5" t="s">
        <v>68</v>
      </c>
      <c r="D4" s="4">
        <v>1</v>
      </c>
      <c r="E4" s="4">
        <v>1</v>
      </c>
      <c r="F4" s="1"/>
      <c r="G4" s="1"/>
    </row>
    <row r="5" spans="1:7" ht="15.6" x14ac:dyDescent="0.3">
      <c r="A5" s="5" t="s">
        <v>21</v>
      </c>
      <c r="B5" s="5" t="s">
        <v>40</v>
      </c>
      <c r="C5" s="5" t="s">
        <v>72</v>
      </c>
      <c r="D5" s="4">
        <v>1</v>
      </c>
      <c r="E5" s="4">
        <v>1</v>
      </c>
      <c r="F5" s="1"/>
      <c r="G5" s="1"/>
    </row>
    <row r="6" spans="1:7" ht="15.6" x14ac:dyDescent="0.3">
      <c r="A6" s="5" t="s">
        <v>21</v>
      </c>
      <c r="B6" s="5" t="s">
        <v>39</v>
      </c>
      <c r="C6" s="5" t="s">
        <v>69</v>
      </c>
      <c r="D6" s="4">
        <v>1</v>
      </c>
      <c r="E6" s="4">
        <v>1</v>
      </c>
      <c r="F6" s="1"/>
      <c r="G6" s="1"/>
    </row>
    <row r="7" spans="1:7" ht="15.6" x14ac:dyDescent="0.3">
      <c r="A7" s="5" t="s">
        <v>21</v>
      </c>
      <c r="B7" s="8" t="s">
        <v>44</v>
      </c>
      <c r="C7" s="5" t="s">
        <v>73</v>
      </c>
      <c r="D7" s="4">
        <v>1</v>
      </c>
      <c r="E7" s="4">
        <v>1</v>
      </c>
      <c r="F7" s="5"/>
      <c r="G7" s="1"/>
    </row>
    <row r="8" spans="1:7" ht="15.6" x14ac:dyDescent="0.3">
      <c r="A8" s="5" t="s">
        <v>21</v>
      </c>
      <c r="B8" s="8" t="s">
        <v>43</v>
      </c>
      <c r="C8" s="5" t="s">
        <v>74</v>
      </c>
      <c r="D8" s="4">
        <v>1</v>
      </c>
      <c r="E8" s="4">
        <v>1</v>
      </c>
      <c r="F8" s="1"/>
      <c r="G8" s="1"/>
    </row>
    <row r="9" spans="1:7" ht="15.6" x14ac:dyDescent="0.3">
      <c r="A9" s="5" t="s">
        <v>21</v>
      </c>
      <c r="B9" s="5" t="s">
        <v>9</v>
      </c>
      <c r="C9" s="5" t="s">
        <v>75</v>
      </c>
      <c r="D9" s="4">
        <v>1</v>
      </c>
      <c r="E9" s="4">
        <v>1</v>
      </c>
      <c r="F9" s="5"/>
      <c r="G9" s="1"/>
    </row>
    <row r="10" spans="1:7" ht="15.6" x14ac:dyDescent="0.3">
      <c r="A10" s="5" t="s">
        <v>15</v>
      </c>
      <c r="B10" s="8" t="s">
        <v>16</v>
      </c>
      <c r="C10" s="5" t="s">
        <v>76</v>
      </c>
      <c r="D10" s="4">
        <v>4</v>
      </c>
      <c r="E10" s="4">
        <v>3</v>
      </c>
    </row>
    <row r="11" spans="1:7" ht="15.6" x14ac:dyDescent="0.3">
      <c r="A11" s="5" t="s">
        <v>15</v>
      </c>
      <c r="B11" s="8" t="s">
        <v>34</v>
      </c>
      <c r="C11" s="5" t="s">
        <v>82</v>
      </c>
      <c r="D11" s="4">
        <v>3</v>
      </c>
      <c r="E11" s="4">
        <v>3</v>
      </c>
      <c r="F11" s="1"/>
      <c r="G11" s="1"/>
    </row>
    <row r="12" spans="1:7" ht="15.6" x14ac:dyDescent="0.3">
      <c r="A12" s="5" t="s">
        <v>15</v>
      </c>
      <c r="B12" s="8" t="s">
        <v>65</v>
      </c>
      <c r="C12" s="5" t="s">
        <v>78</v>
      </c>
      <c r="D12" s="4">
        <v>2</v>
      </c>
      <c r="E12" s="4">
        <v>2</v>
      </c>
    </row>
    <row r="13" spans="1:7" s="3" customFormat="1" ht="15.6" x14ac:dyDescent="0.3">
      <c r="A13" s="5" t="s">
        <v>15</v>
      </c>
      <c r="B13" s="8" t="s">
        <v>36</v>
      </c>
      <c r="C13" s="5" t="s">
        <v>112</v>
      </c>
      <c r="D13" s="4">
        <v>5</v>
      </c>
      <c r="E13" s="4">
        <v>4</v>
      </c>
      <c r="F13" s="1"/>
      <c r="G13" s="1"/>
    </row>
    <row r="14" spans="1:7" s="2" customFormat="1" ht="15.6" x14ac:dyDescent="0.3">
      <c r="A14" s="5" t="s">
        <v>15</v>
      </c>
      <c r="B14" s="5" t="s">
        <v>22</v>
      </c>
      <c r="C14" s="1" t="s">
        <v>113</v>
      </c>
      <c r="D14" s="4">
        <v>2</v>
      </c>
      <c r="E14" s="4">
        <v>1</v>
      </c>
      <c r="F14" s="1"/>
      <c r="G14" s="1"/>
    </row>
    <row r="15" spans="1:7" s="2" customFormat="1" ht="15.6" x14ac:dyDescent="0.3">
      <c r="A15" s="5" t="s">
        <v>15</v>
      </c>
      <c r="B15" s="8" t="s">
        <v>10</v>
      </c>
      <c r="C15" s="5" t="s">
        <v>79</v>
      </c>
      <c r="D15" s="4">
        <v>1</v>
      </c>
      <c r="E15" s="4">
        <v>1</v>
      </c>
      <c r="F15" s="1"/>
      <c r="G15" s="1"/>
    </row>
    <row r="16" spans="1:7" ht="15.6" x14ac:dyDescent="0.3">
      <c r="A16" s="5" t="s">
        <v>15</v>
      </c>
      <c r="B16" s="8" t="s">
        <v>63</v>
      </c>
      <c r="C16" s="5" t="s">
        <v>80</v>
      </c>
      <c r="D16" s="4">
        <v>1</v>
      </c>
      <c r="E16" s="4">
        <v>1</v>
      </c>
    </row>
    <row r="17" spans="1:7" s="3" customFormat="1" ht="15.6" x14ac:dyDescent="0.3">
      <c r="A17" s="5" t="s">
        <v>15</v>
      </c>
      <c r="B17" s="8" t="s">
        <v>59</v>
      </c>
      <c r="C17" s="5" t="s">
        <v>81</v>
      </c>
      <c r="D17" s="4">
        <v>1</v>
      </c>
      <c r="E17" s="4">
        <v>1</v>
      </c>
      <c r="F17" s="1"/>
      <c r="G17" s="1"/>
    </row>
    <row r="18" spans="1:7" ht="15.6" x14ac:dyDescent="0.3">
      <c r="A18" s="5" t="s">
        <v>21</v>
      </c>
      <c r="B18" s="5" t="s">
        <v>102</v>
      </c>
      <c r="C18" s="5" t="s">
        <v>114</v>
      </c>
      <c r="D18" s="4">
        <v>2</v>
      </c>
      <c r="E18" s="4">
        <v>2</v>
      </c>
      <c r="F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64BB-8D4B-4B23-A5E6-118520241A51}">
  <sheetPr codeName="Feuil1"/>
  <dimension ref="A1:AR144"/>
  <sheetViews>
    <sheetView tabSelected="1" topLeftCell="K1" zoomScale="77" zoomScaleNormal="55" workbookViewId="0">
      <selection activeCell="U22" sqref="U22"/>
    </sheetView>
  </sheetViews>
  <sheetFormatPr baseColWidth="10" defaultColWidth="11.5546875" defaultRowHeight="14.4" x14ac:dyDescent="0.3"/>
  <cols>
    <col min="1" max="5" width="11.5546875" style="3"/>
    <col min="6" max="6" width="25.109375" style="3" customWidth="1"/>
    <col min="7" max="7" width="26.6640625" style="33" customWidth="1"/>
    <col min="8" max="8" width="32" style="34" customWidth="1"/>
    <col min="9" max="9" width="23.33203125" style="49" customWidth="1"/>
    <col min="10" max="10" width="26.6640625" style="34" customWidth="1"/>
    <col min="11" max="11" width="21.88671875" style="49" customWidth="1"/>
    <col min="12" max="12" width="30" style="34" customWidth="1"/>
    <col min="13" max="17" width="11.5546875" style="3"/>
    <col min="18" max="18" width="16" style="3" customWidth="1"/>
    <col min="19" max="27" width="11.5546875" style="3"/>
    <col min="28" max="28" width="14.6640625" style="3" customWidth="1"/>
    <col min="29" max="30" width="11.5546875" style="3"/>
    <col min="31" max="31" width="11.5546875" style="33"/>
    <col min="32" max="32" width="18.6640625" style="49" customWidth="1"/>
    <col min="33" max="33" width="20" style="34" customWidth="1"/>
    <col min="34" max="39" width="11.5546875" style="3"/>
    <col min="40" max="40" width="18.6640625" style="3" customWidth="1"/>
    <col min="41" max="41" width="11.5546875" style="3"/>
    <col min="42" max="42" width="23.33203125" style="3" customWidth="1"/>
    <col min="43" max="43" width="11.5546875" style="33"/>
    <col min="44" max="44" width="19.33203125" style="34" customWidth="1"/>
    <col min="45" max="16384" width="11.5546875" style="3"/>
  </cols>
  <sheetData>
    <row r="1" spans="1:44" ht="34.200000000000003" customHeight="1" x14ac:dyDescent="0.3">
      <c r="A1" s="14" t="s">
        <v>71</v>
      </c>
      <c r="B1" s="14" t="s">
        <v>70</v>
      </c>
      <c r="C1" s="14" t="s">
        <v>66</v>
      </c>
      <c r="D1" s="14" t="s">
        <v>67</v>
      </c>
      <c r="E1" s="14" t="s">
        <v>46</v>
      </c>
      <c r="F1" s="35" t="s">
        <v>42</v>
      </c>
      <c r="G1" s="74" t="s">
        <v>60</v>
      </c>
      <c r="H1" s="75"/>
      <c r="I1" s="76" t="s">
        <v>64</v>
      </c>
      <c r="J1" s="75"/>
      <c r="K1" s="76" t="s">
        <v>61</v>
      </c>
      <c r="L1" s="75"/>
      <c r="M1" s="71" t="s">
        <v>52</v>
      </c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2"/>
      <c r="AA1" s="71" t="s">
        <v>49</v>
      </c>
      <c r="AB1" s="73"/>
      <c r="AC1" s="73"/>
      <c r="AD1" s="72"/>
      <c r="AE1" s="71" t="s">
        <v>77</v>
      </c>
      <c r="AF1" s="73"/>
      <c r="AG1" s="72"/>
      <c r="AH1" s="59" t="s">
        <v>50</v>
      </c>
      <c r="AI1" s="60"/>
      <c r="AJ1" s="60"/>
      <c r="AK1" s="60"/>
      <c r="AL1" s="61"/>
      <c r="AM1" s="71" t="s">
        <v>48</v>
      </c>
      <c r="AN1" s="73"/>
      <c r="AO1" s="73"/>
      <c r="AP1" s="72"/>
      <c r="AQ1" s="71" t="s">
        <v>101</v>
      </c>
      <c r="AR1" s="72"/>
    </row>
    <row r="2" spans="1:44" ht="30.6" thickBot="1" x14ac:dyDescent="0.35">
      <c r="A2" s="9" t="s">
        <v>83</v>
      </c>
      <c r="B2" s="10" t="s">
        <v>84</v>
      </c>
      <c r="C2" s="11" t="s">
        <v>85</v>
      </c>
      <c r="D2" s="12" t="s">
        <v>86</v>
      </c>
      <c r="E2" s="13" t="s">
        <v>87</v>
      </c>
      <c r="F2" s="19"/>
      <c r="G2" s="19" t="s">
        <v>108</v>
      </c>
      <c r="H2" s="32" t="s">
        <v>98</v>
      </c>
      <c r="I2" s="46" t="s">
        <v>106</v>
      </c>
      <c r="J2" s="32" t="s">
        <v>98</v>
      </c>
      <c r="K2" s="46" t="s">
        <v>107</v>
      </c>
      <c r="L2" s="32" t="s">
        <v>99</v>
      </c>
      <c r="M2" s="46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20"/>
      <c r="AA2" s="19"/>
      <c r="AB2" s="15"/>
      <c r="AC2" s="15"/>
      <c r="AD2" s="15"/>
      <c r="AE2" s="19"/>
      <c r="AF2" s="46"/>
      <c r="AG2" s="20"/>
      <c r="AH2" s="15"/>
      <c r="AI2" s="15"/>
      <c r="AJ2" s="15"/>
      <c r="AK2" s="15"/>
      <c r="AL2" s="20"/>
      <c r="AM2" s="19"/>
      <c r="AN2" s="15"/>
      <c r="AO2" s="15"/>
      <c r="AP2" s="46"/>
      <c r="AQ2" s="17"/>
      <c r="AR2" s="18"/>
    </row>
    <row r="3" spans="1:44" ht="78.599999999999994" thickBot="1" x14ac:dyDescent="0.35">
      <c r="A3" s="21" t="s">
        <v>41</v>
      </c>
      <c r="B3" s="21" t="s">
        <v>40</v>
      </c>
      <c r="C3" s="21" t="s">
        <v>39</v>
      </c>
      <c r="D3" s="21" t="s">
        <v>44</v>
      </c>
      <c r="E3" s="21" t="s">
        <v>45</v>
      </c>
      <c r="F3" s="22" t="s">
        <v>9</v>
      </c>
      <c r="G3" s="31" t="s">
        <v>9</v>
      </c>
      <c r="H3" s="23" t="s">
        <v>10</v>
      </c>
      <c r="I3" s="22" t="s">
        <v>9</v>
      </c>
      <c r="J3" s="21" t="s">
        <v>63</v>
      </c>
      <c r="K3" s="22" t="s">
        <v>9</v>
      </c>
      <c r="L3" s="21" t="s">
        <v>59</v>
      </c>
      <c r="M3" s="43" t="s">
        <v>53</v>
      </c>
      <c r="N3" s="36" t="s">
        <v>54</v>
      </c>
      <c r="O3" s="36" t="s">
        <v>55</v>
      </c>
      <c r="P3" s="36" t="s">
        <v>115</v>
      </c>
      <c r="Q3" s="36" t="s">
        <v>88</v>
      </c>
      <c r="R3" s="36" t="s">
        <v>116</v>
      </c>
      <c r="S3" s="36" t="s">
        <v>97</v>
      </c>
      <c r="T3" s="36" t="s">
        <v>100</v>
      </c>
      <c r="U3" s="36" t="s">
        <v>96</v>
      </c>
      <c r="V3" s="36" t="s">
        <v>95</v>
      </c>
      <c r="W3" s="36" t="s">
        <v>93</v>
      </c>
      <c r="X3" s="25" t="s">
        <v>94</v>
      </c>
      <c r="AA3" s="24" t="s">
        <v>53</v>
      </c>
      <c r="AB3" s="36" t="s">
        <v>54</v>
      </c>
      <c r="AC3" s="36" t="s">
        <v>109</v>
      </c>
      <c r="AD3" s="36" t="s">
        <v>90</v>
      </c>
      <c r="AE3" s="24" t="s">
        <v>53</v>
      </c>
      <c r="AF3" s="43" t="s">
        <v>91</v>
      </c>
      <c r="AG3" s="25" t="s">
        <v>77</v>
      </c>
      <c r="AH3" s="36" t="s">
        <v>53</v>
      </c>
      <c r="AI3" s="36" t="s">
        <v>54</v>
      </c>
      <c r="AJ3" s="36" t="s">
        <v>89</v>
      </c>
      <c r="AK3" s="36" t="s">
        <v>55</v>
      </c>
      <c r="AL3" s="25" t="s">
        <v>92</v>
      </c>
      <c r="AM3" s="36" t="s">
        <v>54</v>
      </c>
      <c r="AN3" s="36" t="s">
        <v>103</v>
      </c>
      <c r="AO3" s="36" t="s">
        <v>104</v>
      </c>
      <c r="AP3" s="43" t="s">
        <v>105</v>
      </c>
      <c r="AQ3" s="24" t="s">
        <v>54</v>
      </c>
      <c r="AR3" s="25" t="s">
        <v>91</v>
      </c>
    </row>
    <row r="4" spans="1:44" ht="46.8" x14ac:dyDescent="0.3">
      <c r="A4" s="27" t="s">
        <v>37</v>
      </c>
      <c r="B4" s="27" t="s">
        <v>32</v>
      </c>
      <c r="C4" s="27" t="s">
        <v>37</v>
      </c>
      <c r="D4" s="27" t="s">
        <v>6</v>
      </c>
      <c r="E4" s="27">
        <v>1</v>
      </c>
      <c r="F4" s="37" t="s">
        <v>27</v>
      </c>
      <c r="G4" s="37" t="s">
        <v>27</v>
      </c>
      <c r="H4" s="58">
        <v>18</v>
      </c>
      <c r="I4" s="26" t="s">
        <v>27</v>
      </c>
      <c r="J4" s="38">
        <v>0.89500000000000002</v>
      </c>
      <c r="K4" s="26" t="s">
        <v>27</v>
      </c>
      <c r="L4" s="38">
        <v>0.4</v>
      </c>
      <c r="M4" s="43" t="s">
        <v>25</v>
      </c>
      <c r="N4" s="36" t="s">
        <v>44</v>
      </c>
      <c r="O4" s="36" t="s">
        <v>43</v>
      </c>
      <c r="P4" s="36" t="s">
        <v>0</v>
      </c>
      <c r="Q4" s="36" t="s">
        <v>1</v>
      </c>
      <c r="R4" s="36" t="s">
        <v>2</v>
      </c>
      <c r="S4" s="36" t="s">
        <v>3</v>
      </c>
      <c r="T4" s="36" t="s">
        <v>4</v>
      </c>
      <c r="U4" s="36" t="s">
        <v>5</v>
      </c>
      <c r="V4" s="36" t="s">
        <v>18</v>
      </c>
      <c r="W4" s="36" t="s">
        <v>19</v>
      </c>
      <c r="X4" s="25" t="s">
        <v>20</v>
      </c>
      <c r="AA4" s="29" t="s">
        <v>25</v>
      </c>
      <c r="AB4" s="39" t="s">
        <v>47</v>
      </c>
      <c r="AC4" s="39" t="s">
        <v>28</v>
      </c>
      <c r="AD4" s="39" t="s">
        <v>110</v>
      </c>
      <c r="AE4" s="29" t="s">
        <v>25</v>
      </c>
      <c r="AF4" s="57" t="s">
        <v>9</v>
      </c>
      <c r="AG4" s="30" t="s">
        <v>56</v>
      </c>
      <c r="AH4" s="39" t="s">
        <v>25</v>
      </c>
      <c r="AI4" s="39" t="s">
        <v>44</v>
      </c>
      <c r="AJ4" s="39" t="s">
        <v>51</v>
      </c>
      <c r="AK4" s="36" t="s">
        <v>43</v>
      </c>
      <c r="AL4" s="30" t="s">
        <v>38</v>
      </c>
      <c r="AM4" s="29" t="s">
        <v>44</v>
      </c>
      <c r="AN4" s="39" t="s">
        <v>57</v>
      </c>
      <c r="AO4" s="39" t="s">
        <v>58</v>
      </c>
      <c r="AP4" s="57" t="s">
        <v>62</v>
      </c>
      <c r="AQ4" s="29" t="s">
        <v>44</v>
      </c>
      <c r="AR4" s="30" t="s">
        <v>9</v>
      </c>
    </row>
    <row r="5" spans="1:44" ht="15" x14ac:dyDescent="0.3">
      <c r="A5" s="27" t="s">
        <v>33</v>
      </c>
      <c r="B5" s="27" t="s">
        <v>31</v>
      </c>
      <c r="C5" s="27" t="s">
        <v>33</v>
      </c>
      <c r="D5" s="27" t="s">
        <v>7</v>
      </c>
      <c r="E5" s="27">
        <v>2</v>
      </c>
      <c r="F5" s="62" t="s">
        <v>120</v>
      </c>
      <c r="G5" s="63" t="s">
        <v>120</v>
      </c>
      <c r="H5" s="64">
        <v>18</v>
      </c>
      <c r="I5" s="63" t="s">
        <v>120</v>
      </c>
      <c r="J5" s="65">
        <v>0.9</v>
      </c>
      <c r="K5" s="63" t="s">
        <v>120</v>
      </c>
      <c r="L5" s="65">
        <v>1.8</v>
      </c>
      <c r="M5" s="44" t="s">
        <v>26</v>
      </c>
      <c r="N5" s="37" t="s">
        <v>6</v>
      </c>
      <c r="O5" s="37">
        <v>1</v>
      </c>
      <c r="P5" s="40">
        <v>0</v>
      </c>
      <c r="Q5" s="40" t="s">
        <v>111</v>
      </c>
      <c r="R5" s="40">
        <v>1</v>
      </c>
      <c r="S5" s="41">
        <v>4.5</v>
      </c>
      <c r="T5" s="41">
        <v>8</v>
      </c>
      <c r="U5" s="40">
        <v>0</v>
      </c>
      <c r="V5" s="40">
        <v>5</v>
      </c>
      <c r="W5" s="40">
        <v>3</v>
      </c>
      <c r="X5" s="28">
        <v>2</v>
      </c>
      <c r="AA5" s="26" t="s">
        <v>26</v>
      </c>
      <c r="AB5" s="37" t="s">
        <v>6</v>
      </c>
      <c r="AC5" s="37" t="s">
        <v>29</v>
      </c>
      <c r="AD5" s="66">
        <v>20</v>
      </c>
      <c r="AE5" s="26" t="s">
        <v>26</v>
      </c>
      <c r="AF5" s="37" t="s">
        <v>27</v>
      </c>
      <c r="AG5" s="65">
        <v>20</v>
      </c>
      <c r="AH5" s="37" t="s">
        <v>26</v>
      </c>
      <c r="AI5" s="37" t="s">
        <v>6</v>
      </c>
      <c r="AJ5" s="37" t="s">
        <v>30</v>
      </c>
      <c r="AK5" s="37">
        <v>1</v>
      </c>
      <c r="AL5" s="28">
        <v>0</v>
      </c>
      <c r="AM5" s="26" t="s">
        <v>6</v>
      </c>
      <c r="AN5" s="41">
        <v>25000</v>
      </c>
      <c r="AO5" s="41">
        <v>500</v>
      </c>
      <c r="AP5" s="42">
        <v>2800</v>
      </c>
      <c r="AQ5" s="26" t="s">
        <v>6</v>
      </c>
      <c r="AR5" s="37" t="s">
        <v>27</v>
      </c>
    </row>
    <row r="6" spans="1:44" ht="15" x14ac:dyDescent="0.3">
      <c r="A6" s="27" t="s">
        <v>32</v>
      </c>
      <c r="B6" s="27" t="s">
        <v>30</v>
      </c>
      <c r="C6" s="16"/>
      <c r="D6" s="27" t="s">
        <v>23</v>
      </c>
      <c r="E6" s="27">
        <v>3</v>
      </c>
      <c r="F6" s="51" t="s">
        <v>121</v>
      </c>
      <c r="G6" s="51" t="s">
        <v>121</v>
      </c>
      <c r="H6" s="58">
        <v>18</v>
      </c>
      <c r="I6" s="51" t="s">
        <v>121</v>
      </c>
      <c r="J6" s="38">
        <v>0.89500000000000002</v>
      </c>
      <c r="K6" s="51" t="s">
        <v>121</v>
      </c>
      <c r="L6" s="38">
        <v>0.4</v>
      </c>
      <c r="M6" s="44" t="s">
        <v>26</v>
      </c>
      <c r="N6" s="37" t="s">
        <v>7</v>
      </c>
      <c r="O6" s="37">
        <v>1</v>
      </c>
      <c r="P6" s="40">
        <v>0</v>
      </c>
      <c r="Q6" s="40">
        <v>0</v>
      </c>
      <c r="R6" s="40">
        <v>1</v>
      </c>
      <c r="S6" s="41">
        <v>6</v>
      </c>
      <c r="T6" s="41">
        <v>10</v>
      </c>
      <c r="U6" s="40">
        <v>0</v>
      </c>
      <c r="V6" s="40">
        <v>2</v>
      </c>
      <c r="W6" s="40">
        <v>1</v>
      </c>
      <c r="X6" s="28">
        <v>1</v>
      </c>
      <c r="AA6" s="26" t="s">
        <v>26</v>
      </c>
      <c r="AB6" s="37" t="s">
        <v>7</v>
      </c>
      <c r="AC6" s="37" t="s">
        <v>29</v>
      </c>
      <c r="AD6" s="66">
        <v>20</v>
      </c>
      <c r="AE6" s="26" t="s">
        <v>26</v>
      </c>
      <c r="AF6" s="62" t="s">
        <v>120</v>
      </c>
      <c r="AG6" s="65">
        <v>25</v>
      </c>
      <c r="AH6" s="37" t="s">
        <v>26</v>
      </c>
      <c r="AI6" s="37" t="s">
        <v>23</v>
      </c>
      <c r="AJ6" s="37" t="s">
        <v>31</v>
      </c>
      <c r="AK6" s="37">
        <v>1</v>
      </c>
      <c r="AL6" s="28">
        <v>0</v>
      </c>
      <c r="AM6" s="26" t="s">
        <v>7</v>
      </c>
      <c r="AN6" s="41">
        <v>5200</v>
      </c>
      <c r="AO6" s="41">
        <v>100</v>
      </c>
      <c r="AP6" s="42">
        <v>650</v>
      </c>
      <c r="AQ6" s="26" t="s">
        <v>6</v>
      </c>
      <c r="AR6" s="62" t="s">
        <v>120</v>
      </c>
    </row>
    <row r="7" spans="1:44" ht="15" x14ac:dyDescent="0.3">
      <c r="A7" s="27" t="s">
        <v>31</v>
      </c>
      <c r="B7" s="16"/>
      <c r="C7" s="16"/>
      <c r="D7" s="27" t="s">
        <v>24</v>
      </c>
      <c r="E7" s="27">
        <v>4</v>
      </c>
      <c r="F7" s="19" t="s">
        <v>122</v>
      </c>
      <c r="G7" s="19" t="s">
        <v>122</v>
      </c>
      <c r="H7" s="69">
        <v>18.100000000000001</v>
      </c>
      <c r="I7" s="19" t="s">
        <v>122</v>
      </c>
      <c r="J7" s="70">
        <v>28.1</v>
      </c>
      <c r="K7" s="19" t="s">
        <v>122</v>
      </c>
      <c r="L7" s="38">
        <v>0.8</v>
      </c>
      <c r="M7" s="44" t="s">
        <v>26</v>
      </c>
      <c r="N7" s="37" t="s">
        <v>23</v>
      </c>
      <c r="O7" s="37">
        <v>1</v>
      </c>
      <c r="P7" s="40">
        <v>0</v>
      </c>
      <c r="Q7" s="40">
        <v>0</v>
      </c>
      <c r="R7" s="40">
        <v>1</v>
      </c>
      <c r="S7" s="41">
        <v>5.5</v>
      </c>
      <c r="T7" s="41">
        <v>9</v>
      </c>
      <c r="U7" s="40">
        <v>0</v>
      </c>
      <c r="V7" s="40">
        <v>2</v>
      </c>
      <c r="W7" s="40">
        <v>1</v>
      </c>
      <c r="X7" s="28">
        <v>1</v>
      </c>
      <c r="AA7" s="26" t="s">
        <v>26</v>
      </c>
      <c r="AB7" s="37" t="s">
        <v>23</v>
      </c>
      <c r="AC7" s="37" t="s">
        <v>29</v>
      </c>
      <c r="AD7" s="66">
        <v>20</v>
      </c>
      <c r="AE7" s="26" t="s">
        <v>26</v>
      </c>
      <c r="AF7" s="51" t="s">
        <v>121</v>
      </c>
      <c r="AG7" s="68">
        <v>34</v>
      </c>
      <c r="AH7" s="37" t="s">
        <v>26</v>
      </c>
      <c r="AI7" s="37" t="s">
        <v>24</v>
      </c>
      <c r="AJ7" s="37" t="s">
        <v>33</v>
      </c>
      <c r="AK7" s="37">
        <v>1</v>
      </c>
      <c r="AL7" s="28">
        <v>0</v>
      </c>
      <c r="AM7" s="26" t="s">
        <v>23</v>
      </c>
      <c r="AN7" s="41">
        <v>4200</v>
      </c>
      <c r="AO7" s="41">
        <v>85</v>
      </c>
      <c r="AP7" s="42">
        <v>550</v>
      </c>
      <c r="AQ7" s="26" t="s">
        <v>6</v>
      </c>
      <c r="AR7" s="51" t="s">
        <v>121</v>
      </c>
    </row>
    <row r="8" spans="1:44" ht="15" x14ac:dyDescent="0.3">
      <c r="A8" s="27" t="s">
        <v>30</v>
      </c>
      <c r="B8" s="16"/>
      <c r="C8" s="16"/>
      <c r="D8" s="27" t="s">
        <v>8</v>
      </c>
      <c r="E8" s="27">
        <v>5</v>
      </c>
      <c r="F8" s="19" t="s">
        <v>123</v>
      </c>
      <c r="G8" s="19" t="s">
        <v>123</v>
      </c>
      <c r="H8" s="69">
        <v>18.7</v>
      </c>
      <c r="I8" s="19" t="s">
        <v>123</v>
      </c>
      <c r="J8" s="48">
        <v>0.87</v>
      </c>
      <c r="K8" s="19" t="s">
        <v>123</v>
      </c>
      <c r="L8" s="48">
        <v>0.3</v>
      </c>
      <c r="M8" s="44" t="s">
        <v>26</v>
      </c>
      <c r="N8" s="37" t="s">
        <v>24</v>
      </c>
      <c r="O8" s="37">
        <v>1</v>
      </c>
      <c r="P8" s="40">
        <v>0</v>
      </c>
      <c r="Q8" s="40">
        <v>0</v>
      </c>
      <c r="R8" s="40">
        <v>1</v>
      </c>
      <c r="S8" s="41">
        <v>6</v>
      </c>
      <c r="T8" s="41">
        <v>9.5</v>
      </c>
      <c r="U8" s="40">
        <v>0</v>
      </c>
      <c r="V8" s="40">
        <v>3</v>
      </c>
      <c r="W8" s="40">
        <v>2</v>
      </c>
      <c r="X8" s="28">
        <v>1</v>
      </c>
      <c r="AA8" s="26" t="s">
        <v>26</v>
      </c>
      <c r="AB8" s="37" t="s">
        <v>24</v>
      </c>
      <c r="AC8" s="37" t="s">
        <v>29</v>
      </c>
      <c r="AD8" s="66">
        <v>20</v>
      </c>
      <c r="AE8" s="26" t="s">
        <v>26</v>
      </c>
      <c r="AF8" s="19" t="s">
        <v>122</v>
      </c>
      <c r="AG8" s="68">
        <f t="shared" ref="AG8" si="0">70000*100/40000</f>
        <v>175</v>
      </c>
      <c r="AH8" s="37" t="s">
        <v>26</v>
      </c>
      <c r="AI8" s="37" t="s">
        <v>7</v>
      </c>
      <c r="AJ8" s="37" t="s">
        <v>32</v>
      </c>
      <c r="AK8" s="37">
        <v>1</v>
      </c>
      <c r="AL8" s="28">
        <v>0</v>
      </c>
      <c r="AM8" s="26" t="s">
        <v>24</v>
      </c>
      <c r="AN8" s="41">
        <v>6500</v>
      </c>
      <c r="AO8" s="41">
        <v>150</v>
      </c>
      <c r="AP8" s="42">
        <v>950</v>
      </c>
      <c r="AQ8" s="26" t="s">
        <v>6</v>
      </c>
      <c r="AR8" s="19" t="s">
        <v>122</v>
      </c>
    </row>
    <row r="9" spans="1:44" ht="15" x14ac:dyDescent="0.3">
      <c r="A9" s="16"/>
      <c r="B9" s="16"/>
      <c r="C9" s="16"/>
      <c r="D9" s="16"/>
      <c r="E9" s="27">
        <v>6</v>
      </c>
      <c r="G9" s="47"/>
      <c r="H9" s="50"/>
      <c r="I9" s="45"/>
      <c r="J9" s="50"/>
      <c r="K9" s="45"/>
      <c r="L9" s="48"/>
      <c r="M9" s="44" t="s">
        <v>26</v>
      </c>
      <c r="N9" s="37" t="s">
        <v>8</v>
      </c>
      <c r="O9" s="37">
        <v>1</v>
      </c>
      <c r="P9" s="40">
        <v>0</v>
      </c>
      <c r="Q9" s="40">
        <v>0</v>
      </c>
      <c r="R9" s="40">
        <v>1</v>
      </c>
      <c r="S9" s="41">
        <v>4</v>
      </c>
      <c r="T9" s="41">
        <v>7</v>
      </c>
      <c r="U9" s="3">
        <v>2</v>
      </c>
      <c r="V9" s="40">
        <v>10</v>
      </c>
      <c r="W9" s="40">
        <v>5</v>
      </c>
      <c r="X9" s="28">
        <v>5</v>
      </c>
      <c r="AA9" s="26" t="s">
        <v>26</v>
      </c>
      <c r="AB9" s="37" t="s">
        <v>8</v>
      </c>
      <c r="AC9" s="37" t="s">
        <v>29</v>
      </c>
      <c r="AD9" s="66">
        <v>20</v>
      </c>
      <c r="AE9" s="26" t="s">
        <v>26</v>
      </c>
      <c r="AF9" s="19" t="s">
        <v>123</v>
      </c>
      <c r="AG9" s="68">
        <v>85</v>
      </c>
      <c r="AH9" s="37" t="s">
        <v>26</v>
      </c>
      <c r="AI9" s="37" t="s">
        <v>8</v>
      </c>
      <c r="AJ9" s="37" t="s">
        <v>37</v>
      </c>
      <c r="AK9" s="37">
        <v>1</v>
      </c>
      <c r="AL9" s="28">
        <v>0</v>
      </c>
      <c r="AM9" s="26" t="s">
        <v>8</v>
      </c>
      <c r="AN9" s="41">
        <v>55000</v>
      </c>
      <c r="AO9" s="41">
        <v>1100</v>
      </c>
      <c r="AP9" s="42">
        <v>7000</v>
      </c>
      <c r="AQ9" s="26" t="s">
        <v>6</v>
      </c>
      <c r="AR9" s="19" t="s">
        <v>123</v>
      </c>
    </row>
    <row r="10" spans="1:44" ht="15" x14ac:dyDescent="0.3">
      <c r="A10" s="16"/>
      <c r="B10" s="16"/>
      <c r="C10" s="16"/>
      <c r="D10" s="16"/>
      <c r="E10" s="27">
        <v>7</v>
      </c>
      <c r="F10" s="19"/>
      <c r="G10" s="19"/>
      <c r="H10" s="20"/>
      <c r="I10" s="46"/>
      <c r="J10" s="20"/>
      <c r="K10" s="46"/>
      <c r="L10" s="20"/>
      <c r="M10" s="44" t="s">
        <v>26</v>
      </c>
      <c r="N10" s="37" t="s">
        <v>6</v>
      </c>
      <c r="O10" s="37">
        <v>2</v>
      </c>
      <c r="P10" s="40">
        <v>0</v>
      </c>
      <c r="Q10" s="40">
        <v>0</v>
      </c>
      <c r="R10" s="40">
        <v>1</v>
      </c>
      <c r="S10" s="41">
        <v>4.4000000000000004</v>
      </c>
      <c r="T10" s="41">
        <v>8</v>
      </c>
      <c r="U10" s="40">
        <v>1</v>
      </c>
      <c r="V10" s="40">
        <v>5</v>
      </c>
      <c r="W10" s="40">
        <v>3</v>
      </c>
      <c r="X10" s="28">
        <v>2</v>
      </c>
      <c r="AA10" s="26" t="s">
        <v>26</v>
      </c>
      <c r="AB10" s="37" t="s">
        <v>6</v>
      </c>
      <c r="AC10" s="37" t="s">
        <v>30</v>
      </c>
      <c r="AD10" s="41">
        <v>1300</v>
      </c>
      <c r="AE10" s="26" t="s">
        <v>117</v>
      </c>
      <c r="AF10" s="37" t="s">
        <v>27</v>
      </c>
      <c r="AG10" s="65">
        <v>20</v>
      </c>
      <c r="AH10" s="37" t="s">
        <v>26</v>
      </c>
      <c r="AI10" s="37" t="s">
        <v>6</v>
      </c>
      <c r="AJ10" s="37" t="s">
        <v>30</v>
      </c>
      <c r="AK10" s="37">
        <v>2</v>
      </c>
      <c r="AL10" s="28">
        <v>0</v>
      </c>
      <c r="AM10" s="19"/>
      <c r="AN10" s="15"/>
      <c r="AO10" s="15"/>
      <c r="AP10" s="46"/>
      <c r="AQ10" s="26" t="s">
        <v>23</v>
      </c>
      <c r="AR10" s="37" t="s">
        <v>27</v>
      </c>
    </row>
    <row r="11" spans="1:44" ht="15" x14ac:dyDescent="0.3">
      <c r="A11" s="16"/>
      <c r="B11" s="16"/>
      <c r="C11" s="16"/>
      <c r="D11" s="16"/>
      <c r="E11" s="27">
        <v>8</v>
      </c>
      <c r="F11" s="19"/>
      <c r="G11" s="19"/>
      <c r="H11" s="20"/>
      <c r="I11" s="46"/>
      <c r="J11" s="20"/>
      <c r="K11" s="46"/>
      <c r="L11" s="20"/>
      <c r="M11" s="44" t="s">
        <v>26</v>
      </c>
      <c r="N11" s="37" t="s">
        <v>7</v>
      </c>
      <c r="O11" s="37">
        <v>2</v>
      </c>
      <c r="P11" s="40">
        <v>0.3</v>
      </c>
      <c r="Q11" s="40">
        <v>0</v>
      </c>
      <c r="R11" s="40">
        <v>1</v>
      </c>
      <c r="S11" s="41">
        <v>5.8</v>
      </c>
      <c r="T11" s="41">
        <v>10</v>
      </c>
      <c r="U11" s="40">
        <v>0</v>
      </c>
      <c r="V11" s="40">
        <v>2</v>
      </c>
      <c r="W11" s="40">
        <v>1</v>
      </c>
      <c r="X11" s="28">
        <v>1</v>
      </c>
      <c r="AA11" s="26" t="s">
        <v>26</v>
      </c>
      <c r="AB11" s="37" t="s">
        <v>23</v>
      </c>
      <c r="AC11" s="37" t="s">
        <v>31</v>
      </c>
      <c r="AD11" s="41">
        <v>1200</v>
      </c>
      <c r="AE11" s="26" t="s">
        <v>117</v>
      </c>
      <c r="AF11" s="62" t="s">
        <v>120</v>
      </c>
      <c r="AG11" s="65">
        <v>25</v>
      </c>
      <c r="AH11" s="37" t="s">
        <v>26</v>
      </c>
      <c r="AI11" s="37" t="s">
        <v>23</v>
      </c>
      <c r="AJ11" s="37" t="s">
        <v>31</v>
      </c>
      <c r="AK11" s="37">
        <v>2</v>
      </c>
      <c r="AL11" s="28">
        <v>0</v>
      </c>
      <c r="AM11" s="19"/>
      <c r="AN11" s="15"/>
      <c r="AO11" s="15"/>
      <c r="AP11" s="46"/>
      <c r="AQ11" s="26" t="s">
        <v>23</v>
      </c>
      <c r="AR11" s="62" t="s">
        <v>120</v>
      </c>
    </row>
    <row r="12" spans="1:44" ht="15" x14ac:dyDescent="0.3">
      <c r="A12" s="16"/>
      <c r="B12" s="16"/>
      <c r="C12" s="16"/>
      <c r="D12" s="16"/>
      <c r="E12" s="27">
        <v>9</v>
      </c>
      <c r="F12" s="19"/>
      <c r="G12" s="19"/>
      <c r="H12" s="20"/>
      <c r="I12" s="46"/>
      <c r="J12" s="20"/>
      <c r="K12" s="46"/>
      <c r="L12" s="20"/>
      <c r="M12" s="44" t="s">
        <v>26</v>
      </c>
      <c r="N12" s="37" t="s">
        <v>23</v>
      </c>
      <c r="O12" s="37">
        <v>2</v>
      </c>
      <c r="P12" s="40">
        <v>0.3</v>
      </c>
      <c r="Q12" s="40">
        <v>0</v>
      </c>
      <c r="R12" s="40">
        <v>1</v>
      </c>
      <c r="S12" s="41">
        <v>5.3</v>
      </c>
      <c r="T12" s="41">
        <v>9</v>
      </c>
      <c r="U12" s="40">
        <v>0</v>
      </c>
      <c r="V12" s="40">
        <v>2</v>
      </c>
      <c r="W12" s="40">
        <v>1</v>
      </c>
      <c r="X12" s="28">
        <v>1</v>
      </c>
      <c r="AA12" s="26" t="s">
        <v>26</v>
      </c>
      <c r="AB12" s="37" t="s">
        <v>24</v>
      </c>
      <c r="AC12" s="37" t="s">
        <v>33</v>
      </c>
      <c r="AD12" s="67">
        <v>150</v>
      </c>
      <c r="AE12" s="26" t="s">
        <v>117</v>
      </c>
      <c r="AF12" s="51" t="s">
        <v>121</v>
      </c>
      <c r="AG12" s="68">
        <v>34</v>
      </c>
      <c r="AH12" s="37" t="s">
        <v>26</v>
      </c>
      <c r="AI12" s="37" t="s">
        <v>23</v>
      </c>
      <c r="AJ12" s="37" t="s">
        <v>33</v>
      </c>
      <c r="AK12" s="37">
        <v>2</v>
      </c>
      <c r="AL12" s="28">
        <v>200</v>
      </c>
      <c r="AM12" s="19"/>
      <c r="AN12" s="15"/>
      <c r="AO12" s="15"/>
      <c r="AP12" s="46"/>
      <c r="AQ12" s="26" t="s">
        <v>23</v>
      </c>
      <c r="AR12" s="51" t="s">
        <v>121</v>
      </c>
    </row>
    <row r="13" spans="1:44" ht="15" x14ac:dyDescent="0.3">
      <c r="A13" s="16"/>
      <c r="B13" s="16"/>
      <c r="C13" s="16"/>
      <c r="D13" s="16"/>
      <c r="E13" s="27">
        <v>10</v>
      </c>
      <c r="F13" s="52"/>
      <c r="G13" s="52"/>
      <c r="H13" s="54"/>
      <c r="I13" s="46"/>
      <c r="J13" s="20"/>
      <c r="K13" s="46"/>
      <c r="L13" s="20"/>
      <c r="M13" s="44" t="s">
        <v>26</v>
      </c>
      <c r="N13" s="37" t="s">
        <v>24</v>
      </c>
      <c r="O13" s="37">
        <v>2</v>
      </c>
      <c r="P13" s="40">
        <v>0.3</v>
      </c>
      <c r="Q13" s="40">
        <v>0</v>
      </c>
      <c r="R13" s="40">
        <v>1</v>
      </c>
      <c r="S13" s="41">
        <v>5.8</v>
      </c>
      <c r="T13" s="41">
        <v>9.5</v>
      </c>
      <c r="U13" s="40">
        <v>0</v>
      </c>
      <c r="V13" s="40">
        <v>3</v>
      </c>
      <c r="W13" s="40">
        <v>2</v>
      </c>
      <c r="X13" s="28">
        <v>1</v>
      </c>
      <c r="AA13" s="26" t="s">
        <v>26</v>
      </c>
      <c r="AB13" s="37" t="s">
        <v>7</v>
      </c>
      <c r="AC13" s="37" t="s">
        <v>32</v>
      </c>
      <c r="AD13" s="41">
        <v>1800</v>
      </c>
      <c r="AE13" s="26" t="s">
        <v>117</v>
      </c>
      <c r="AF13" s="19" t="s">
        <v>122</v>
      </c>
      <c r="AG13" s="68">
        <f t="shared" ref="AG13" si="1">70000*100/40000</f>
        <v>175</v>
      </c>
      <c r="AH13" s="37" t="s">
        <v>26</v>
      </c>
      <c r="AI13" s="37" t="s">
        <v>7</v>
      </c>
      <c r="AJ13" s="37" t="s">
        <v>32</v>
      </c>
      <c r="AK13" s="37">
        <v>2</v>
      </c>
      <c r="AL13" s="28">
        <v>20</v>
      </c>
      <c r="AM13" s="19"/>
      <c r="AN13" s="37"/>
      <c r="AO13" s="15"/>
      <c r="AP13" s="46"/>
      <c r="AQ13" s="26" t="s">
        <v>23</v>
      </c>
      <c r="AR13" s="19" t="s">
        <v>122</v>
      </c>
    </row>
    <row r="14" spans="1:44" ht="15" x14ac:dyDescent="0.3">
      <c r="A14" s="16"/>
      <c r="B14" s="16"/>
      <c r="C14" s="16"/>
      <c r="D14" s="16"/>
      <c r="E14" s="16"/>
      <c r="F14" s="53"/>
      <c r="G14" s="55"/>
      <c r="H14" s="56"/>
      <c r="I14" s="46"/>
      <c r="J14" s="20"/>
      <c r="K14" s="46"/>
      <c r="L14" s="20"/>
      <c r="M14" s="44" t="s">
        <v>26</v>
      </c>
      <c r="N14" s="37" t="s">
        <v>8</v>
      </c>
      <c r="O14" s="37">
        <v>2</v>
      </c>
      <c r="P14" s="40">
        <v>0.3</v>
      </c>
      <c r="Q14" s="40">
        <v>0</v>
      </c>
      <c r="R14" s="40">
        <v>1</v>
      </c>
      <c r="S14" s="41">
        <v>3.8</v>
      </c>
      <c r="T14" s="41">
        <v>7</v>
      </c>
      <c r="U14" s="40">
        <v>0</v>
      </c>
      <c r="V14" s="40">
        <v>10</v>
      </c>
      <c r="W14" s="40">
        <v>5</v>
      </c>
      <c r="X14" s="28">
        <v>5</v>
      </c>
      <c r="AA14" s="26" t="s">
        <v>26</v>
      </c>
      <c r="AB14" s="37" t="s">
        <v>8</v>
      </c>
      <c r="AC14" s="37" t="s">
        <v>37</v>
      </c>
      <c r="AD14" s="67">
        <v>65</v>
      </c>
      <c r="AE14" s="26" t="s">
        <v>117</v>
      </c>
      <c r="AF14" s="19" t="s">
        <v>123</v>
      </c>
      <c r="AG14" s="68">
        <v>85</v>
      </c>
      <c r="AH14" s="37" t="s">
        <v>26</v>
      </c>
      <c r="AI14" s="37" t="s">
        <v>8</v>
      </c>
      <c r="AJ14" s="37" t="s">
        <v>37</v>
      </c>
      <c r="AK14" s="37">
        <v>2</v>
      </c>
      <c r="AL14" s="28">
        <v>3000</v>
      </c>
      <c r="AM14" s="19"/>
      <c r="AN14" s="62"/>
      <c r="AO14" s="15"/>
      <c r="AP14" s="46"/>
      <c r="AQ14" s="26" t="s">
        <v>23</v>
      </c>
      <c r="AR14" s="19" t="s">
        <v>123</v>
      </c>
    </row>
    <row r="15" spans="1:44" ht="15" x14ac:dyDescent="0.3">
      <c r="A15" s="16"/>
      <c r="B15" s="16"/>
      <c r="C15" s="16"/>
      <c r="D15" s="16"/>
      <c r="E15" s="16"/>
      <c r="F15" s="53"/>
      <c r="G15" s="55"/>
      <c r="H15" s="56"/>
      <c r="I15" s="46"/>
      <c r="J15" s="20"/>
      <c r="K15" s="46"/>
      <c r="L15" s="20"/>
      <c r="M15" s="44" t="s">
        <v>26</v>
      </c>
      <c r="N15" s="37" t="s">
        <v>6</v>
      </c>
      <c r="O15" s="37">
        <v>3</v>
      </c>
      <c r="P15" s="40">
        <v>0.3</v>
      </c>
      <c r="Q15" s="40">
        <v>0</v>
      </c>
      <c r="R15" s="40">
        <v>1</v>
      </c>
      <c r="S15" s="41">
        <v>4.3</v>
      </c>
      <c r="T15" s="41">
        <v>8</v>
      </c>
      <c r="U15" s="40">
        <v>0</v>
      </c>
      <c r="V15" s="40">
        <v>5</v>
      </c>
      <c r="W15" s="40">
        <v>3</v>
      </c>
      <c r="X15" s="28">
        <v>2</v>
      </c>
      <c r="AA15" s="26" t="s">
        <v>26</v>
      </c>
      <c r="AB15" s="37" t="s">
        <v>6</v>
      </c>
      <c r="AC15" s="37" t="s">
        <v>35</v>
      </c>
      <c r="AD15" s="41">
        <v>190000</v>
      </c>
      <c r="AE15" s="26" t="s">
        <v>118</v>
      </c>
      <c r="AF15" s="37" t="s">
        <v>27</v>
      </c>
      <c r="AG15" s="65">
        <v>20</v>
      </c>
      <c r="AH15" s="37" t="s">
        <v>26</v>
      </c>
      <c r="AI15" s="37" t="s">
        <v>6</v>
      </c>
      <c r="AJ15" s="37" t="s">
        <v>30</v>
      </c>
      <c r="AK15" s="37">
        <v>3</v>
      </c>
      <c r="AL15" s="28">
        <v>0</v>
      </c>
      <c r="AM15" s="19"/>
      <c r="AN15" s="51"/>
      <c r="AO15" s="15"/>
      <c r="AP15" s="46"/>
      <c r="AQ15" s="26" t="s">
        <v>24</v>
      </c>
      <c r="AR15" s="37" t="s">
        <v>27</v>
      </c>
    </row>
    <row r="16" spans="1:44" ht="15" x14ac:dyDescent="0.3">
      <c r="A16" s="16"/>
      <c r="B16" s="16"/>
      <c r="C16" s="16"/>
      <c r="D16" s="16"/>
      <c r="E16" s="16"/>
      <c r="F16" s="53"/>
      <c r="G16" s="55"/>
      <c r="H16" s="56"/>
      <c r="I16" s="46"/>
      <c r="J16" s="20"/>
      <c r="K16" s="46"/>
      <c r="L16" s="20"/>
      <c r="M16" s="44" t="s">
        <v>26</v>
      </c>
      <c r="N16" s="37" t="s">
        <v>7</v>
      </c>
      <c r="O16" s="37">
        <v>3</v>
      </c>
      <c r="P16" s="40">
        <v>0.3</v>
      </c>
      <c r="Q16" s="40">
        <v>0</v>
      </c>
      <c r="R16" s="40">
        <v>1</v>
      </c>
      <c r="S16" s="41">
        <v>5.6</v>
      </c>
      <c r="T16" s="41">
        <v>10</v>
      </c>
      <c r="U16" s="40">
        <v>0</v>
      </c>
      <c r="V16" s="40">
        <v>2</v>
      </c>
      <c r="W16" s="40">
        <v>1</v>
      </c>
      <c r="X16" s="28">
        <v>1</v>
      </c>
      <c r="AA16" s="26" t="s">
        <v>26</v>
      </c>
      <c r="AB16" s="37" t="s">
        <v>7</v>
      </c>
      <c r="AC16" s="37" t="s">
        <v>35</v>
      </c>
      <c r="AD16" s="41">
        <v>14000</v>
      </c>
      <c r="AE16" s="26" t="s">
        <v>118</v>
      </c>
      <c r="AF16" s="62" t="s">
        <v>120</v>
      </c>
      <c r="AG16" s="65">
        <v>25</v>
      </c>
      <c r="AH16" s="37" t="s">
        <v>26</v>
      </c>
      <c r="AI16" s="37" t="s">
        <v>23</v>
      </c>
      <c r="AJ16" s="37" t="s">
        <v>31</v>
      </c>
      <c r="AK16" s="37">
        <v>3</v>
      </c>
      <c r="AL16" s="28">
        <v>30</v>
      </c>
      <c r="AM16" s="19"/>
      <c r="AN16" s="19"/>
      <c r="AO16" s="15"/>
      <c r="AP16" s="46"/>
      <c r="AQ16" s="26" t="s">
        <v>24</v>
      </c>
      <c r="AR16" s="62" t="s">
        <v>120</v>
      </c>
    </row>
    <row r="17" spans="1:44" ht="15" x14ac:dyDescent="0.3">
      <c r="A17" s="16"/>
      <c r="B17" s="16"/>
      <c r="C17" s="16"/>
      <c r="D17" s="16"/>
      <c r="E17" s="16"/>
      <c r="F17" s="53"/>
      <c r="G17" s="55"/>
      <c r="I17" s="46"/>
      <c r="J17" s="20"/>
      <c r="K17" s="46"/>
      <c r="L17" s="20"/>
      <c r="M17" s="44" t="s">
        <v>26</v>
      </c>
      <c r="N17" s="37" t="s">
        <v>23</v>
      </c>
      <c r="O17" s="37">
        <v>3</v>
      </c>
      <c r="P17" s="40">
        <v>0.3</v>
      </c>
      <c r="Q17" s="40">
        <v>0</v>
      </c>
      <c r="R17" s="40">
        <v>1</v>
      </c>
      <c r="S17" s="41">
        <v>5.0999999999999996</v>
      </c>
      <c r="T17" s="41">
        <v>9</v>
      </c>
      <c r="U17" s="40">
        <v>0</v>
      </c>
      <c r="V17" s="40">
        <v>2</v>
      </c>
      <c r="W17" s="40">
        <v>1</v>
      </c>
      <c r="X17" s="28">
        <v>1</v>
      </c>
      <c r="AA17" s="26" t="s">
        <v>26</v>
      </c>
      <c r="AB17" s="37" t="s">
        <v>23</v>
      </c>
      <c r="AC17" s="37" t="s">
        <v>35</v>
      </c>
      <c r="AD17" s="41">
        <v>10000</v>
      </c>
      <c r="AE17" s="26" t="s">
        <v>118</v>
      </c>
      <c r="AF17" s="51" t="s">
        <v>121</v>
      </c>
      <c r="AG17" s="68">
        <v>34</v>
      </c>
      <c r="AH17" s="37" t="s">
        <v>26</v>
      </c>
      <c r="AI17" s="37" t="s">
        <v>23</v>
      </c>
      <c r="AJ17" s="37" t="s">
        <v>33</v>
      </c>
      <c r="AK17" s="37">
        <v>3</v>
      </c>
      <c r="AL17" s="28">
        <v>200</v>
      </c>
      <c r="AM17" s="19"/>
      <c r="AN17" s="19"/>
      <c r="AO17" s="15"/>
      <c r="AP17" s="46"/>
      <c r="AQ17" s="26" t="s">
        <v>24</v>
      </c>
      <c r="AR17" s="51" t="s">
        <v>121</v>
      </c>
    </row>
    <row r="18" spans="1:44" ht="15" x14ac:dyDescent="0.3">
      <c r="A18" s="16"/>
      <c r="B18" s="16"/>
      <c r="C18" s="16"/>
      <c r="D18" s="16"/>
      <c r="E18" s="16"/>
      <c r="F18" s="19"/>
      <c r="G18" s="19"/>
      <c r="H18" s="20"/>
      <c r="I18" s="46"/>
      <c r="J18" s="20"/>
      <c r="K18" s="46"/>
      <c r="L18" s="20"/>
      <c r="M18" s="44" t="s">
        <v>26</v>
      </c>
      <c r="N18" s="37" t="s">
        <v>24</v>
      </c>
      <c r="O18" s="37">
        <v>3</v>
      </c>
      <c r="P18" s="40">
        <v>0.3</v>
      </c>
      <c r="Q18" s="40">
        <v>0</v>
      </c>
      <c r="R18" s="40">
        <v>1</v>
      </c>
      <c r="S18" s="41">
        <v>5.6</v>
      </c>
      <c r="T18" s="41">
        <v>9.5</v>
      </c>
      <c r="U18" s="40">
        <v>0</v>
      </c>
      <c r="V18" s="40">
        <v>3</v>
      </c>
      <c r="W18" s="40">
        <v>2</v>
      </c>
      <c r="X18" s="28">
        <v>1</v>
      </c>
      <c r="AA18" s="26" t="s">
        <v>26</v>
      </c>
      <c r="AB18" s="37" t="s">
        <v>24</v>
      </c>
      <c r="AC18" s="37" t="s">
        <v>35</v>
      </c>
      <c r="AD18" s="41">
        <v>10000</v>
      </c>
      <c r="AE18" s="26" t="s">
        <v>118</v>
      </c>
      <c r="AF18" s="19" t="s">
        <v>122</v>
      </c>
      <c r="AG18" s="68">
        <f t="shared" ref="AG18" si="2">70000*100/40000</f>
        <v>175</v>
      </c>
      <c r="AH18" s="37" t="s">
        <v>26</v>
      </c>
      <c r="AI18" s="37" t="s">
        <v>7</v>
      </c>
      <c r="AJ18" s="37" t="s">
        <v>32</v>
      </c>
      <c r="AK18" s="37">
        <v>3</v>
      </c>
      <c r="AL18" s="28">
        <v>0</v>
      </c>
      <c r="AM18" s="19"/>
      <c r="AN18" s="45"/>
      <c r="AO18" s="15"/>
      <c r="AP18" s="46"/>
      <c r="AQ18" s="26" t="s">
        <v>24</v>
      </c>
      <c r="AR18" s="19" t="s">
        <v>122</v>
      </c>
    </row>
    <row r="19" spans="1:44" ht="15" x14ac:dyDescent="0.3">
      <c r="A19" s="16"/>
      <c r="B19" s="16"/>
      <c r="C19" s="16"/>
      <c r="D19" s="16"/>
      <c r="E19" s="16"/>
      <c r="F19" s="19"/>
      <c r="G19" s="19"/>
      <c r="H19" s="20"/>
      <c r="I19" s="46"/>
      <c r="J19" s="20"/>
      <c r="K19" s="46"/>
      <c r="L19" s="20"/>
      <c r="M19" s="44" t="s">
        <v>26</v>
      </c>
      <c r="N19" s="37" t="s">
        <v>8</v>
      </c>
      <c r="O19" s="37">
        <v>3</v>
      </c>
      <c r="P19" s="40">
        <v>0.3</v>
      </c>
      <c r="Q19" s="40">
        <v>0</v>
      </c>
      <c r="R19" s="40">
        <v>1</v>
      </c>
      <c r="S19" s="41">
        <v>3.7</v>
      </c>
      <c r="T19" s="41">
        <v>7</v>
      </c>
      <c r="U19" s="3">
        <v>5</v>
      </c>
      <c r="V19" s="40">
        <v>10</v>
      </c>
      <c r="W19" s="40">
        <v>5</v>
      </c>
      <c r="X19" s="28">
        <v>5</v>
      </c>
      <c r="AA19" s="26" t="s">
        <v>26</v>
      </c>
      <c r="AB19" s="37" t="s">
        <v>8</v>
      </c>
      <c r="AC19" s="37" t="s">
        <v>35</v>
      </c>
      <c r="AD19" s="41">
        <v>20000</v>
      </c>
      <c r="AE19" s="26" t="s">
        <v>118</v>
      </c>
      <c r="AF19" s="19" t="s">
        <v>123</v>
      </c>
      <c r="AG19" s="68">
        <v>85</v>
      </c>
      <c r="AH19" s="37" t="s">
        <v>26</v>
      </c>
      <c r="AI19" s="37" t="s">
        <v>8</v>
      </c>
      <c r="AJ19" s="37" t="s">
        <v>37</v>
      </c>
      <c r="AK19" s="37">
        <v>3</v>
      </c>
      <c r="AL19" s="28">
        <v>3000</v>
      </c>
      <c r="AM19" s="19"/>
      <c r="AN19" s="15"/>
      <c r="AO19" s="15"/>
      <c r="AP19" s="46"/>
      <c r="AQ19" s="26" t="s">
        <v>24</v>
      </c>
      <c r="AR19" s="19" t="s">
        <v>123</v>
      </c>
    </row>
    <row r="20" spans="1:44" ht="15" x14ac:dyDescent="0.3">
      <c r="A20" s="16"/>
      <c r="B20" s="16"/>
      <c r="C20" s="16"/>
      <c r="D20" s="16"/>
      <c r="E20" s="16"/>
      <c r="F20" s="19"/>
      <c r="G20" s="19"/>
      <c r="H20" s="20"/>
      <c r="I20" s="46"/>
      <c r="J20" s="20"/>
      <c r="K20" s="46"/>
      <c r="L20" s="20"/>
      <c r="M20" s="44" t="s">
        <v>26</v>
      </c>
      <c r="N20" s="37" t="s">
        <v>6</v>
      </c>
      <c r="O20" s="37">
        <v>4</v>
      </c>
      <c r="P20" s="40">
        <v>0.3</v>
      </c>
      <c r="Q20" s="40">
        <v>0</v>
      </c>
      <c r="R20" s="40">
        <v>1</v>
      </c>
      <c r="S20" s="41">
        <v>4.2</v>
      </c>
      <c r="T20" s="41">
        <v>8</v>
      </c>
      <c r="U20" s="3">
        <v>5</v>
      </c>
      <c r="V20" s="40">
        <v>5</v>
      </c>
      <c r="W20" s="40">
        <v>3</v>
      </c>
      <c r="X20" s="28">
        <v>2</v>
      </c>
      <c r="AA20" s="26" t="s">
        <v>117</v>
      </c>
      <c r="AB20" s="37" t="s">
        <v>6</v>
      </c>
      <c r="AC20" s="37" t="s">
        <v>29</v>
      </c>
      <c r="AD20" s="66">
        <v>20</v>
      </c>
      <c r="AE20" s="26" t="s">
        <v>119</v>
      </c>
      <c r="AF20" s="37" t="s">
        <v>27</v>
      </c>
      <c r="AG20" s="65">
        <v>20</v>
      </c>
      <c r="AH20" s="37" t="s">
        <v>26</v>
      </c>
      <c r="AI20" s="37" t="s">
        <v>6</v>
      </c>
      <c r="AJ20" s="37" t="s">
        <v>30</v>
      </c>
      <c r="AK20" s="37">
        <v>4</v>
      </c>
      <c r="AL20" s="28">
        <v>0</v>
      </c>
      <c r="AM20" s="19"/>
      <c r="AN20" s="15"/>
      <c r="AO20" s="15"/>
      <c r="AP20" s="46"/>
      <c r="AQ20" s="26" t="s">
        <v>7</v>
      </c>
      <c r="AR20" s="37" t="s">
        <v>27</v>
      </c>
    </row>
    <row r="21" spans="1:44" ht="15" x14ac:dyDescent="0.3">
      <c r="A21" s="16"/>
      <c r="B21" s="16"/>
      <c r="C21" s="16"/>
      <c r="D21" s="16"/>
      <c r="E21" s="16"/>
      <c r="F21" s="19"/>
      <c r="G21" s="19"/>
      <c r="H21" s="20"/>
      <c r="I21" s="46"/>
      <c r="J21" s="20"/>
      <c r="K21" s="46"/>
      <c r="L21" s="20"/>
      <c r="M21" s="44" t="s">
        <v>26</v>
      </c>
      <c r="N21" s="37" t="s">
        <v>7</v>
      </c>
      <c r="O21" s="37">
        <v>4</v>
      </c>
      <c r="P21" s="40">
        <v>0.3</v>
      </c>
      <c r="Q21" s="40">
        <v>0</v>
      </c>
      <c r="R21" s="40">
        <v>1</v>
      </c>
      <c r="S21" s="41">
        <v>5.5</v>
      </c>
      <c r="T21" s="41">
        <v>10</v>
      </c>
      <c r="U21" s="3">
        <v>2</v>
      </c>
      <c r="V21" s="40">
        <v>2</v>
      </c>
      <c r="W21" s="40">
        <v>1</v>
      </c>
      <c r="X21" s="28">
        <v>1</v>
      </c>
      <c r="AA21" s="26" t="s">
        <v>117</v>
      </c>
      <c r="AB21" s="37" t="s">
        <v>7</v>
      </c>
      <c r="AC21" s="37" t="s">
        <v>29</v>
      </c>
      <c r="AD21" s="66">
        <v>20</v>
      </c>
      <c r="AE21" s="26" t="s">
        <v>119</v>
      </c>
      <c r="AF21" s="62" t="s">
        <v>120</v>
      </c>
      <c r="AG21" s="65">
        <v>25</v>
      </c>
      <c r="AH21" s="37" t="s">
        <v>26</v>
      </c>
      <c r="AI21" s="37" t="s">
        <v>23</v>
      </c>
      <c r="AJ21" s="37" t="s">
        <v>31</v>
      </c>
      <c r="AK21" s="37">
        <v>4</v>
      </c>
      <c r="AL21" s="28">
        <v>0</v>
      </c>
      <c r="AM21" s="19"/>
      <c r="AN21" s="15"/>
      <c r="AO21" s="15"/>
      <c r="AP21" s="46"/>
      <c r="AQ21" s="26" t="s">
        <v>7</v>
      </c>
      <c r="AR21" s="62" t="s">
        <v>120</v>
      </c>
    </row>
    <row r="22" spans="1:44" ht="15" x14ac:dyDescent="0.3">
      <c r="A22" s="16"/>
      <c r="B22" s="16"/>
      <c r="C22" s="16"/>
      <c r="D22" s="16"/>
      <c r="E22" s="16"/>
      <c r="F22" s="19"/>
      <c r="G22" s="19"/>
      <c r="H22" s="20"/>
      <c r="I22" s="46"/>
      <c r="J22" s="20"/>
      <c r="K22" s="46"/>
      <c r="L22" s="20"/>
      <c r="M22" s="44" t="s">
        <v>26</v>
      </c>
      <c r="N22" s="37" t="s">
        <v>23</v>
      </c>
      <c r="O22" s="37">
        <v>4</v>
      </c>
      <c r="P22" s="40">
        <v>0.3</v>
      </c>
      <c r="Q22" s="40">
        <v>0</v>
      </c>
      <c r="R22" s="40">
        <v>1</v>
      </c>
      <c r="S22" s="41">
        <v>5</v>
      </c>
      <c r="T22" s="41">
        <v>9</v>
      </c>
      <c r="U22" s="3">
        <v>1</v>
      </c>
      <c r="V22" s="40">
        <v>2</v>
      </c>
      <c r="W22" s="40">
        <v>1</v>
      </c>
      <c r="X22" s="28">
        <v>1</v>
      </c>
      <c r="AA22" s="26" t="s">
        <v>117</v>
      </c>
      <c r="AB22" s="37" t="s">
        <v>23</v>
      </c>
      <c r="AC22" s="37" t="s">
        <v>29</v>
      </c>
      <c r="AD22" s="66">
        <v>20</v>
      </c>
      <c r="AE22" s="26" t="s">
        <v>119</v>
      </c>
      <c r="AF22" s="51" t="s">
        <v>121</v>
      </c>
      <c r="AG22" s="68">
        <v>34</v>
      </c>
      <c r="AH22" s="37" t="s">
        <v>26</v>
      </c>
      <c r="AI22" s="37" t="s">
        <v>23</v>
      </c>
      <c r="AJ22" s="37" t="s">
        <v>33</v>
      </c>
      <c r="AK22" s="37">
        <v>4</v>
      </c>
      <c r="AL22" s="28">
        <v>200</v>
      </c>
      <c r="AM22" s="19"/>
      <c r="AN22" s="15"/>
      <c r="AO22" s="15"/>
      <c r="AP22" s="46"/>
      <c r="AQ22" s="26" t="s">
        <v>7</v>
      </c>
      <c r="AR22" s="51" t="s">
        <v>121</v>
      </c>
    </row>
    <row r="23" spans="1:44" ht="15" x14ac:dyDescent="0.3">
      <c r="A23" s="16"/>
      <c r="B23" s="16"/>
      <c r="C23" s="16"/>
      <c r="D23" s="16"/>
      <c r="E23" s="16"/>
      <c r="F23" s="19"/>
      <c r="G23" s="19"/>
      <c r="H23" s="20"/>
      <c r="I23" s="46"/>
      <c r="J23" s="20"/>
      <c r="K23" s="46"/>
      <c r="L23" s="20"/>
      <c r="M23" s="44" t="s">
        <v>26</v>
      </c>
      <c r="N23" s="37" t="s">
        <v>24</v>
      </c>
      <c r="O23" s="37">
        <v>4</v>
      </c>
      <c r="P23" s="40">
        <v>0.3</v>
      </c>
      <c r="Q23" s="40">
        <v>0</v>
      </c>
      <c r="R23" s="40">
        <v>1</v>
      </c>
      <c r="S23" s="41">
        <v>5.5</v>
      </c>
      <c r="T23" s="41">
        <v>9.5</v>
      </c>
      <c r="U23" s="40">
        <v>0</v>
      </c>
      <c r="V23" s="40">
        <v>3</v>
      </c>
      <c r="W23" s="40">
        <v>2</v>
      </c>
      <c r="X23" s="28">
        <v>1</v>
      </c>
      <c r="AA23" s="26" t="s">
        <v>117</v>
      </c>
      <c r="AB23" s="37" t="s">
        <v>24</v>
      </c>
      <c r="AC23" s="37" t="s">
        <v>29</v>
      </c>
      <c r="AD23" s="66">
        <v>20</v>
      </c>
      <c r="AE23" s="26" t="s">
        <v>119</v>
      </c>
      <c r="AF23" s="19" t="s">
        <v>122</v>
      </c>
      <c r="AG23" s="68">
        <f t="shared" ref="AG23" si="3">70000*100/40000</f>
        <v>175</v>
      </c>
      <c r="AH23" s="37" t="s">
        <v>26</v>
      </c>
      <c r="AI23" s="37" t="s">
        <v>7</v>
      </c>
      <c r="AJ23" s="37" t="s">
        <v>32</v>
      </c>
      <c r="AK23" s="37">
        <v>4</v>
      </c>
      <c r="AL23" s="28">
        <v>0</v>
      </c>
      <c r="AM23" s="19"/>
      <c r="AN23" s="15"/>
      <c r="AO23" s="15"/>
      <c r="AP23" s="46"/>
      <c r="AQ23" s="26" t="s">
        <v>7</v>
      </c>
      <c r="AR23" s="19" t="s">
        <v>122</v>
      </c>
    </row>
    <row r="24" spans="1:44" ht="15" x14ac:dyDescent="0.3">
      <c r="A24" s="16"/>
      <c r="B24" s="16"/>
      <c r="C24" s="16"/>
      <c r="D24" s="16"/>
      <c r="E24" s="16"/>
      <c r="F24" s="19"/>
      <c r="G24" s="19"/>
      <c r="H24" s="20"/>
      <c r="I24" s="46"/>
      <c r="J24" s="20"/>
      <c r="K24" s="46"/>
      <c r="L24" s="20"/>
      <c r="M24" s="44" t="s">
        <v>26</v>
      </c>
      <c r="N24" s="37" t="s">
        <v>8</v>
      </c>
      <c r="O24" s="37">
        <v>4</v>
      </c>
      <c r="P24" s="40">
        <v>0.3</v>
      </c>
      <c r="Q24" s="40">
        <v>0</v>
      </c>
      <c r="R24" s="40">
        <v>1</v>
      </c>
      <c r="S24" s="41">
        <v>3.6</v>
      </c>
      <c r="T24" s="41">
        <v>7</v>
      </c>
      <c r="U24" s="40">
        <v>0</v>
      </c>
      <c r="V24" s="40">
        <v>10</v>
      </c>
      <c r="W24" s="40">
        <v>5</v>
      </c>
      <c r="X24" s="28">
        <v>5</v>
      </c>
      <c r="AA24" s="26" t="s">
        <v>117</v>
      </c>
      <c r="AB24" s="37" t="s">
        <v>8</v>
      </c>
      <c r="AC24" s="37" t="s">
        <v>29</v>
      </c>
      <c r="AD24" s="66">
        <v>20</v>
      </c>
      <c r="AE24" s="26" t="s">
        <v>119</v>
      </c>
      <c r="AF24" s="19" t="s">
        <v>123</v>
      </c>
      <c r="AG24" s="68">
        <v>85</v>
      </c>
      <c r="AH24" s="37" t="s">
        <v>26</v>
      </c>
      <c r="AI24" s="37" t="s">
        <v>8</v>
      </c>
      <c r="AJ24" s="37" t="s">
        <v>37</v>
      </c>
      <c r="AK24" s="37">
        <v>4</v>
      </c>
      <c r="AL24" s="28">
        <v>3000</v>
      </c>
      <c r="AM24" s="19"/>
      <c r="AN24" s="15"/>
      <c r="AO24" s="15"/>
      <c r="AP24" s="46"/>
      <c r="AQ24" s="26" t="s">
        <v>7</v>
      </c>
      <c r="AR24" s="19" t="s">
        <v>123</v>
      </c>
    </row>
    <row r="25" spans="1:44" ht="15" x14ac:dyDescent="0.3">
      <c r="A25" s="16"/>
      <c r="B25" s="16"/>
      <c r="C25" s="16"/>
      <c r="D25" s="16"/>
      <c r="E25" s="16"/>
      <c r="F25" s="19"/>
      <c r="G25" s="19"/>
      <c r="H25" s="20"/>
      <c r="I25" s="46"/>
      <c r="J25" s="20"/>
      <c r="K25" s="46"/>
      <c r="L25" s="20"/>
      <c r="M25" s="44" t="s">
        <v>26</v>
      </c>
      <c r="N25" s="37" t="s">
        <v>6</v>
      </c>
      <c r="O25" s="37">
        <v>5</v>
      </c>
      <c r="P25" s="40">
        <v>0.3</v>
      </c>
      <c r="Q25" s="40">
        <v>0</v>
      </c>
      <c r="R25" s="40">
        <v>1</v>
      </c>
      <c r="S25" s="41">
        <v>4.0999999999999996</v>
      </c>
      <c r="T25" s="41">
        <v>8</v>
      </c>
      <c r="U25" s="40">
        <v>0</v>
      </c>
      <c r="V25" s="40">
        <v>5</v>
      </c>
      <c r="W25" s="40">
        <v>3</v>
      </c>
      <c r="X25" s="28">
        <v>2</v>
      </c>
      <c r="AA25" s="26" t="s">
        <v>117</v>
      </c>
      <c r="AB25" s="37" t="s">
        <v>6</v>
      </c>
      <c r="AC25" s="37" t="s">
        <v>30</v>
      </c>
      <c r="AD25" s="41">
        <v>1300</v>
      </c>
      <c r="AE25" s="19"/>
      <c r="AF25" s="46"/>
      <c r="AG25" s="20"/>
      <c r="AH25" s="37" t="s">
        <v>26</v>
      </c>
      <c r="AI25" s="37" t="s">
        <v>6</v>
      </c>
      <c r="AJ25" s="37" t="s">
        <v>30</v>
      </c>
      <c r="AK25" s="37">
        <v>5</v>
      </c>
      <c r="AL25" s="28">
        <v>0</v>
      </c>
      <c r="AM25" s="19"/>
      <c r="AN25" s="15"/>
      <c r="AO25" s="15"/>
      <c r="AP25" s="46"/>
      <c r="AQ25" s="26" t="s">
        <v>8</v>
      </c>
      <c r="AR25" s="37" t="s">
        <v>27</v>
      </c>
    </row>
    <row r="26" spans="1:44" ht="15" x14ac:dyDescent="0.3">
      <c r="A26" s="16"/>
      <c r="B26" s="16"/>
      <c r="C26" s="16"/>
      <c r="D26" s="16"/>
      <c r="E26" s="16"/>
      <c r="F26" s="19"/>
      <c r="G26" s="19"/>
      <c r="H26" s="20"/>
      <c r="I26" s="46"/>
      <c r="J26" s="20"/>
      <c r="K26" s="46"/>
      <c r="L26" s="20"/>
      <c r="M26" s="44" t="s">
        <v>26</v>
      </c>
      <c r="N26" s="37" t="s">
        <v>7</v>
      </c>
      <c r="O26" s="37">
        <v>5</v>
      </c>
      <c r="P26" s="40">
        <v>0.3</v>
      </c>
      <c r="Q26" s="40">
        <v>0</v>
      </c>
      <c r="R26" s="40">
        <v>1</v>
      </c>
      <c r="S26" s="41">
        <v>5.4</v>
      </c>
      <c r="T26" s="41">
        <v>10</v>
      </c>
      <c r="U26" s="40">
        <v>0</v>
      </c>
      <c r="V26" s="40">
        <v>2</v>
      </c>
      <c r="W26" s="40">
        <v>1</v>
      </c>
      <c r="X26" s="28">
        <v>1</v>
      </c>
      <c r="AA26" s="26" t="s">
        <v>117</v>
      </c>
      <c r="AB26" s="37" t="s">
        <v>23</v>
      </c>
      <c r="AC26" s="37" t="s">
        <v>31</v>
      </c>
      <c r="AD26" s="41">
        <v>1200</v>
      </c>
      <c r="AE26" s="19"/>
      <c r="AF26" s="46"/>
      <c r="AG26" s="20"/>
      <c r="AH26" s="37" t="s">
        <v>26</v>
      </c>
      <c r="AI26" s="37" t="s">
        <v>23</v>
      </c>
      <c r="AJ26" s="37" t="s">
        <v>31</v>
      </c>
      <c r="AK26" s="37">
        <v>5</v>
      </c>
      <c r="AL26" s="28">
        <v>0</v>
      </c>
      <c r="AM26" s="19"/>
      <c r="AN26" s="15"/>
      <c r="AO26" s="15"/>
      <c r="AP26" s="46"/>
      <c r="AQ26" s="26" t="s">
        <v>8</v>
      </c>
      <c r="AR26" s="62" t="s">
        <v>120</v>
      </c>
    </row>
    <row r="27" spans="1:44" ht="15" x14ac:dyDescent="0.3">
      <c r="A27" s="16"/>
      <c r="B27" s="16"/>
      <c r="C27" s="16"/>
      <c r="D27" s="16"/>
      <c r="E27" s="16"/>
      <c r="F27" s="19"/>
      <c r="G27" s="19"/>
      <c r="H27" s="20"/>
      <c r="I27" s="46"/>
      <c r="J27" s="20"/>
      <c r="K27" s="46"/>
      <c r="L27" s="20"/>
      <c r="M27" s="44" t="s">
        <v>26</v>
      </c>
      <c r="N27" s="37" t="s">
        <v>23</v>
      </c>
      <c r="O27" s="37">
        <v>5</v>
      </c>
      <c r="P27" s="40">
        <v>0.3</v>
      </c>
      <c r="Q27" s="40">
        <v>0</v>
      </c>
      <c r="R27" s="40">
        <v>1</v>
      </c>
      <c r="S27" s="41">
        <v>4.9000000000000004</v>
      </c>
      <c r="T27" s="41">
        <v>9</v>
      </c>
      <c r="U27" s="40">
        <v>0</v>
      </c>
      <c r="V27" s="40">
        <v>2</v>
      </c>
      <c r="W27" s="40">
        <v>1</v>
      </c>
      <c r="X27" s="28">
        <v>1</v>
      </c>
      <c r="AA27" s="26" t="s">
        <v>117</v>
      </c>
      <c r="AB27" s="37" t="s">
        <v>24</v>
      </c>
      <c r="AC27" s="37" t="s">
        <v>33</v>
      </c>
      <c r="AD27" s="67">
        <v>150</v>
      </c>
      <c r="AE27" s="19"/>
      <c r="AF27" s="46"/>
      <c r="AG27" s="20"/>
      <c r="AH27" s="37" t="s">
        <v>26</v>
      </c>
      <c r="AI27" s="37" t="s">
        <v>23</v>
      </c>
      <c r="AJ27" s="37" t="s">
        <v>33</v>
      </c>
      <c r="AK27" s="37">
        <v>5</v>
      </c>
      <c r="AL27" s="28">
        <v>200</v>
      </c>
      <c r="AM27" s="19"/>
      <c r="AN27" s="15"/>
      <c r="AO27" s="15"/>
      <c r="AP27" s="46"/>
      <c r="AQ27" s="26" t="s">
        <v>8</v>
      </c>
      <c r="AR27" s="51" t="s">
        <v>121</v>
      </c>
    </row>
    <row r="28" spans="1:44" ht="15" x14ac:dyDescent="0.3">
      <c r="A28" s="16"/>
      <c r="B28" s="16"/>
      <c r="C28" s="16"/>
      <c r="D28" s="16"/>
      <c r="E28" s="16"/>
      <c r="F28" s="19"/>
      <c r="G28" s="19"/>
      <c r="H28" s="20"/>
      <c r="I28" s="46"/>
      <c r="J28" s="20"/>
      <c r="K28" s="46"/>
      <c r="L28" s="20"/>
      <c r="M28" s="44" t="s">
        <v>26</v>
      </c>
      <c r="N28" s="37" t="s">
        <v>24</v>
      </c>
      <c r="O28" s="37">
        <v>5</v>
      </c>
      <c r="P28" s="40">
        <v>0.3</v>
      </c>
      <c r="Q28" s="40">
        <v>0</v>
      </c>
      <c r="R28" s="40">
        <v>1</v>
      </c>
      <c r="S28" s="41">
        <v>5.4</v>
      </c>
      <c r="T28" s="41">
        <v>9.5</v>
      </c>
      <c r="U28" s="40">
        <v>0</v>
      </c>
      <c r="V28" s="40">
        <v>3</v>
      </c>
      <c r="W28" s="40">
        <v>2</v>
      </c>
      <c r="X28" s="28">
        <v>1</v>
      </c>
      <c r="AA28" s="26" t="s">
        <v>117</v>
      </c>
      <c r="AB28" s="37" t="s">
        <v>7</v>
      </c>
      <c r="AC28" s="37" t="s">
        <v>32</v>
      </c>
      <c r="AD28" s="41">
        <v>1800</v>
      </c>
      <c r="AE28" s="19"/>
      <c r="AF28" s="46"/>
      <c r="AG28" s="20"/>
      <c r="AH28" s="37" t="s">
        <v>26</v>
      </c>
      <c r="AI28" s="37" t="s">
        <v>7</v>
      </c>
      <c r="AJ28" s="37" t="s">
        <v>32</v>
      </c>
      <c r="AK28" s="37">
        <v>5</v>
      </c>
      <c r="AL28" s="28">
        <v>0</v>
      </c>
      <c r="AM28" s="19"/>
      <c r="AN28" s="15"/>
      <c r="AO28" s="15"/>
      <c r="AP28" s="46"/>
      <c r="AQ28" s="26" t="s">
        <v>8</v>
      </c>
      <c r="AR28" s="19" t="s">
        <v>122</v>
      </c>
    </row>
    <row r="29" spans="1:44" ht="15" x14ac:dyDescent="0.3">
      <c r="A29" s="16"/>
      <c r="B29" s="16"/>
      <c r="C29" s="16"/>
      <c r="D29" s="16"/>
      <c r="E29" s="16"/>
      <c r="F29" s="19"/>
      <c r="G29" s="19"/>
      <c r="H29" s="20"/>
      <c r="I29" s="46"/>
      <c r="J29" s="20"/>
      <c r="K29" s="46"/>
      <c r="L29" s="20"/>
      <c r="M29" s="44" t="s">
        <v>26</v>
      </c>
      <c r="N29" s="37" t="s">
        <v>8</v>
      </c>
      <c r="O29" s="37">
        <v>5</v>
      </c>
      <c r="P29" s="40">
        <v>0.3</v>
      </c>
      <c r="Q29" s="40">
        <v>0</v>
      </c>
      <c r="R29" s="40">
        <v>1</v>
      </c>
      <c r="S29" s="41">
        <v>3.5</v>
      </c>
      <c r="T29" s="41">
        <v>7</v>
      </c>
      <c r="U29" s="40">
        <v>0</v>
      </c>
      <c r="V29" s="40">
        <v>10</v>
      </c>
      <c r="W29" s="40">
        <v>5</v>
      </c>
      <c r="X29" s="28">
        <v>5</v>
      </c>
      <c r="AA29" s="26" t="s">
        <v>117</v>
      </c>
      <c r="AB29" s="37" t="s">
        <v>8</v>
      </c>
      <c r="AC29" s="37" t="s">
        <v>37</v>
      </c>
      <c r="AD29" s="67">
        <v>65</v>
      </c>
      <c r="AE29" s="19"/>
      <c r="AF29" s="46"/>
      <c r="AG29" s="20"/>
      <c r="AH29" s="37" t="s">
        <v>26</v>
      </c>
      <c r="AI29" s="37" t="s">
        <v>8</v>
      </c>
      <c r="AJ29" s="37" t="s">
        <v>37</v>
      </c>
      <c r="AK29" s="37">
        <v>5</v>
      </c>
      <c r="AL29" s="28">
        <v>3000</v>
      </c>
      <c r="AM29" s="19"/>
      <c r="AN29" s="15"/>
      <c r="AO29" s="15"/>
      <c r="AP29" s="46"/>
      <c r="AQ29" s="26" t="s">
        <v>8</v>
      </c>
      <c r="AR29" s="19" t="s">
        <v>123</v>
      </c>
    </row>
    <row r="30" spans="1:44" ht="15.6" x14ac:dyDescent="0.3">
      <c r="A30" s="16"/>
      <c r="B30" s="16"/>
      <c r="C30" s="16"/>
      <c r="D30" s="16"/>
      <c r="E30" s="16"/>
      <c r="F30" s="19"/>
      <c r="G30" s="19"/>
      <c r="H30" s="20"/>
      <c r="I30" s="46"/>
      <c r="J30" s="20"/>
      <c r="K30" s="46"/>
      <c r="L30" s="20"/>
      <c r="M30" s="44" t="s">
        <v>26</v>
      </c>
      <c r="N30" s="37" t="s">
        <v>6</v>
      </c>
      <c r="O30" s="37">
        <v>6</v>
      </c>
      <c r="P30" s="40">
        <v>0.3</v>
      </c>
      <c r="Q30" s="40">
        <v>0</v>
      </c>
      <c r="R30" s="40">
        <v>1</v>
      </c>
      <c r="S30" s="41">
        <v>4</v>
      </c>
      <c r="T30" s="41">
        <v>8</v>
      </c>
      <c r="U30" s="40">
        <v>0</v>
      </c>
      <c r="V30" s="40">
        <v>5</v>
      </c>
      <c r="W30" s="40">
        <v>3</v>
      </c>
      <c r="X30" s="28">
        <v>2</v>
      </c>
      <c r="AA30" s="26" t="s">
        <v>117</v>
      </c>
      <c r="AB30" s="37" t="s">
        <v>6</v>
      </c>
      <c r="AC30" s="37" t="s">
        <v>35</v>
      </c>
      <c r="AD30" s="41">
        <v>190000</v>
      </c>
      <c r="AE30" s="19"/>
      <c r="AF30" s="46"/>
      <c r="AG30" s="20"/>
      <c r="AH30" s="37" t="s">
        <v>26</v>
      </c>
      <c r="AI30" s="37" t="s">
        <v>6</v>
      </c>
      <c r="AJ30" s="37" t="s">
        <v>30</v>
      </c>
      <c r="AK30" s="37">
        <v>6</v>
      </c>
      <c r="AL30" s="28">
        <v>300</v>
      </c>
      <c r="AM30" s="19"/>
      <c r="AN30" s="15"/>
      <c r="AO30" s="15"/>
      <c r="AP30" s="46"/>
      <c r="AQ30" s="17"/>
      <c r="AR30" s="18"/>
    </row>
    <row r="31" spans="1:44" ht="15.6" x14ac:dyDescent="0.3">
      <c r="A31" s="16"/>
      <c r="B31" s="16"/>
      <c r="C31" s="16"/>
      <c r="D31" s="16"/>
      <c r="E31" s="16"/>
      <c r="F31" s="19"/>
      <c r="G31" s="19"/>
      <c r="H31" s="20"/>
      <c r="I31" s="46"/>
      <c r="J31" s="20"/>
      <c r="K31" s="46"/>
      <c r="L31" s="20"/>
      <c r="M31" s="44" t="s">
        <v>26</v>
      </c>
      <c r="N31" s="37" t="s">
        <v>7</v>
      </c>
      <c r="O31" s="37">
        <v>6</v>
      </c>
      <c r="P31" s="40">
        <v>0.3</v>
      </c>
      <c r="Q31" s="40">
        <v>0</v>
      </c>
      <c r="R31" s="40">
        <v>1</v>
      </c>
      <c r="S31" s="41">
        <v>5.3</v>
      </c>
      <c r="T31" s="41">
        <v>10</v>
      </c>
      <c r="U31" s="40">
        <v>0</v>
      </c>
      <c r="V31" s="40">
        <v>2</v>
      </c>
      <c r="W31" s="40">
        <v>1</v>
      </c>
      <c r="X31" s="28">
        <v>1</v>
      </c>
      <c r="AA31" s="26" t="s">
        <v>117</v>
      </c>
      <c r="AB31" s="37" t="s">
        <v>7</v>
      </c>
      <c r="AC31" s="37" t="s">
        <v>35</v>
      </c>
      <c r="AD31" s="41">
        <v>14000</v>
      </c>
      <c r="AE31" s="19"/>
      <c r="AF31" s="46"/>
      <c r="AG31" s="20"/>
      <c r="AH31" s="37" t="s">
        <v>26</v>
      </c>
      <c r="AI31" s="37" t="s">
        <v>23</v>
      </c>
      <c r="AJ31" s="37" t="s">
        <v>31</v>
      </c>
      <c r="AK31" s="37">
        <v>6</v>
      </c>
      <c r="AL31" s="28">
        <v>30</v>
      </c>
      <c r="AM31" s="19"/>
      <c r="AN31" s="15"/>
      <c r="AO31" s="15"/>
      <c r="AP31" s="46"/>
      <c r="AQ31" s="17"/>
      <c r="AR31" s="18"/>
    </row>
    <row r="32" spans="1:44" ht="15.6" x14ac:dyDescent="0.3">
      <c r="A32" s="16"/>
      <c r="B32" s="16"/>
      <c r="C32" s="16"/>
      <c r="D32" s="16"/>
      <c r="E32" s="16"/>
      <c r="F32" s="19"/>
      <c r="G32" s="19"/>
      <c r="H32" s="20"/>
      <c r="I32" s="46"/>
      <c r="J32" s="20"/>
      <c r="K32" s="46"/>
      <c r="L32" s="20"/>
      <c r="M32" s="44" t="s">
        <v>26</v>
      </c>
      <c r="N32" s="37" t="s">
        <v>23</v>
      </c>
      <c r="O32" s="37">
        <v>6</v>
      </c>
      <c r="P32" s="40">
        <v>0.3</v>
      </c>
      <c r="Q32" s="40">
        <v>0</v>
      </c>
      <c r="R32" s="40">
        <v>1</v>
      </c>
      <c r="S32" s="41">
        <v>4.8</v>
      </c>
      <c r="T32" s="41">
        <v>9</v>
      </c>
      <c r="U32" s="40">
        <v>0</v>
      </c>
      <c r="V32" s="40">
        <v>2</v>
      </c>
      <c r="W32" s="40">
        <v>1</v>
      </c>
      <c r="X32" s="28">
        <v>1</v>
      </c>
      <c r="AA32" s="26" t="s">
        <v>117</v>
      </c>
      <c r="AB32" s="37" t="s">
        <v>23</v>
      </c>
      <c r="AC32" s="37" t="s">
        <v>35</v>
      </c>
      <c r="AD32" s="41">
        <v>10000</v>
      </c>
      <c r="AE32" s="19"/>
      <c r="AF32" s="46"/>
      <c r="AG32" s="20"/>
      <c r="AH32" s="37" t="s">
        <v>26</v>
      </c>
      <c r="AI32" s="37" t="s">
        <v>23</v>
      </c>
      <c r="AJ32" s="37" t="s">
        <v>33</v>
      </c>
      <c r="AK32" s="37">
        <v>6</v>
      </c>
      <c r="AL32" s="28">
        <v>40</v>
      </c>
      <c r="AM32" s="19"/>
      <c r="AN32" s="15"/>
      <c r="AO32" s="15"/>
      <c r="AP32" s="46"/>
      <c r="AQ32" s="17"/>
      <c r="AR32" s="18"/>
    </row>
    <row r="33" spans="1:44" ht="15.6" x14ac:dyDescent="0.3">
      <c r="A33" s="16"/>
      <c r="B33" s="16"/>
      <c r="C33" s="16"/>
      <c r="D33" s="16"/>
      <c r="E33" s="16"/>
      <c r="F33" s="19"/>
      <c r="G33" s="19"/>
      <c r="H33" s="20"/>
      <c r="I33" s="46"/>
      <c r="J33" s="20"/>
      <c r="K33" s="46"/>
      <c r="L33" s="20"/>
      <c r="M33" s="44" t="s">
        <v>26</v>
      </c>
      <c r="N33" s="37" t="s">
        <v>24</v>
      </c>
      <c r="O33" s="37">
        <v>6</v>
      </c>
      <c r="P33" s="40">
        <v>0.3</v>
      </c>
      <c r="Q33" s="40">
        <v>0</v>
      </c>
      <c r="R33" s="40">
        <v>1</v>
      </c>
      <c r="S33" s="41">
        <v>5.3</v>
      </c>
      <c r="T33" s="41">
        <v>9.5</v>
      </c>
      <c r="U33" s="40">
        <v>0</v>
      </c>
      <c r="V33" s="40">
        <v>3</v>
      </c>
      <c r="W33" s="40">
        <v>2</v>
      </c>
      <c r="X33" s="28">
        <v>1</v>
      </c>
      <c r="AA33" s="26" t="s">
        <v>117</v>
      </c>
      <c r="AB33" s="37" t="s">
        <v>24</v>
      </c>
      <c r="AC33" s="37" t="s">
        <v>35</v>
      </c>
      <c r="AD33" s="41">
        <v>10000</v>
      </c>
      <c r="AE33" s="19"/>
      <c r="AF33" s="46"/>
      <c r="AG33" s="20"/>
      <c r="AH33" s="37" t="s">
        <v>26</v>
      </c>
      <c r="AI33" s="37" t="s">
        <v>7</v>
      </c>
      <c r="AJ33" s="37" t="s">
        <v>32</v>
      </c>
      <c r="AK33" s="37">
        <v>6</v>
      </c>
      <c r="AL33" s="28">
        <v>18</v>
      </c>
      <c r="AM33" s="19"/>
      <c r="AN33" s="15"/>
      <c r="AO33" s="15"/>
      <c r="AP33" s="46"/>
      <c r="AQ33" s="17"/>
      <c r="AR33" s="18"/>
    </row>
    <row r="34" spans="1:44" ht="15.6" x14ac:dyDescent="0.3">
      <c r="A34" s="16"/>
      <c r="B34" s="16"/>
      <c r="C34" s="16"/>
      <c r="D34" s="16"/>
      <c r="E34" s="16"/>
      <c r="F34" s="19"/>
      <c r="G34" s="19"/>
      <c r="H34" s="20"/>
      <c r="I34" s="46"/>
      <c r="J34" s="20"/>
      <c r="K34" s="46"/>
      <c r="L34" s="20"/>
      <c r="M34" s="44" t="s">
        <v>26</v>
      </c>
      <c r="N34" s="37" t="s">
        <v>8</v>
      </c>
      <c r="O34" s="37">
        <v>6</v>
      </c>
      <c r="P34" s="40">
        <v>0.3</v>
      </c>
      <c r="Q34" s="40">
        <v>0</v>
      </c>
      <c r="R34" s="40">
        <v>1</v>
      </c>
      <c r="S34" s="41">
        <v>3.4</v>
      </c>
      <c r="T34" s="41">
        <v>7</v>
      </c>
      <c r="U34" s="40">
        <v>0</v>
      </c>
      <c r="V34" s="40">
        <v>10</v>
      </c>
      <c r="W34" s="40">
        <v>5</v>
      </c>
      <c r="X34" s="28">
        <v>5</v>
      </c>
      <c r="AA34" s="26" t="s">
        <v>117</v>
      </c>
      <c r="AB34" s="37" t="s">
        <v>8</v>
      </c>
      <c r="AC34" s="37" t="s">
        <v>35</v>
      </c>
      <c r="AD34" s="41">
        <v>2000</v>
      </c>
      <c r="AE34" s="19"/>
      <c r="AF34" s="46"/>
      <c r="AG34" s="20"/>
      <c r="AH34" s="37" t="s">
        <v>26</v>
      </c>
      <c r="AI34" s="37" t="s">
        <v>8</v>
      </c>
      <c r="AJ34" s="37" t="s">
        <v>37</v>
      </c>
      <c r="AK34" s="37">
        <v>6</v>
      </c>
      <c r="AL34" s="28">
        <v>3000</v>
      </c>
      <c r="AM34" s="19"/>
      <c r="AN34" s="15"/>
      <c r="AO34" s="15"/>
      <c r="AP34" s="46"/>
      <c r="AQ34" s="17"/>
      <c r="AR34" s="18"/>
    </row>
    <row r="35" spans="1:44" ht="15" x14ac:dyDescent="0.3">
      <c r="M35" s="44" t="s">
        <v>117</v>
      </c>
      <c r="N35" s="37" t="s">
        <v>6</v>
      </c>
      <c r="O35" s="37">
        <v>1</v>
      </c>
      <c r="P35" s="40">
        <v>0</v>
      </c>
      <c r="Q35" s="40" t="s">
        <v>111</v>
      </c>
      <c r="R35" s="40">
        <v>1</v>
      </c>
      <c r="S35" s="41">
        <v>4.5</v>
      </c>
      <c r="T35" s="41">
        <v>8</v>
      </c>
      <c r="U35" s="40">
        <v>0</v>
      </c>
      <c r="V35" s="40">
        <v>5</v>
      </c>
      <c r="W35" s="40">
        <v>3</v>
      </c>
      <c r="X35" s="28">
        <v>2</v>
      </c>
      <c r="AA35" s="26" t="s">
        <v>118</v>
      </c>
      <c r="AB35" s="37" t="s">
        <v>6</v>
      </c>
      <c r="AC35" s="37" t="s">
        <v>29</v>
      </c>
      <c r="AD35" s="66">
        <v>20</v>
      </c>
      <c r="AH35" s="37" t="s">
        <v>26</v>
      </c>
      <c r="AI35" s="37" t="s">
        <v>6</v>
      </c>
      <c r="AJ35" s="37" t="s">
        <v>30</v>
      </c>
      <c r="AK35" s="37">
        <v>7</v>
      </c>
      <c r="AL35" s="28">
        <v>300</v>
      </c>
    </row>
    <row r="36" spans="1:44" ht="15" x14ac:dyDescent="0.3">
      <c r="M36" s="44" t="s">
        <v>117</v>
      </c>
      <c r="N36" s="37" t="s">
        <v>7</v>
      </c>
      <c r="O36" s="37">
        <v>1</v>
      </c>
      <c r="P36" s="40">
        <v>0</v>
      </c>
      <c r="Q36" s="40">
        <v>0</v>
      </c>
      <c r="R36" s="40">
        <v>1</v>
      </c>
      <c r="S36" s="41">
        <v>6</v>
      </c>
      <c r="T36" s="41">
        <v>10</v>
      </c>
      <c r="U36" s="40">
        <v>0</v>
      </c>
      <c r="V36" s="40">
        <v>2</v>
      </c>
      <c r="W36" s="40">
        <v>1</v>
      </c>
      <c r="X36" s="28">
        <v>1</v>
      </c>
      <c r="AA36" s="26" t="s">
        <v>118</v>
      </c>
      <c r="AB36" s="37" t="s">
        <v>7</v>
      </c>
      <c r="AC36" s="37" t="s">
        <v>29</v>
      </c>
      <c r="AD36" s="66">
        <v>20</v>
      </c>
      <c r="AH36" s="37" t="s">
        <v>26</v>
      </c>
      <c r="AI36" s="37" t="s">
        <v>23</v>
      </c>
      <c r="AJ36" s="37" t="s">
        <v>31</v>
      </c>
      <c r="AK36" s="37">
        <v>7</v>
      </c>
      <c r="AL36" s="28">
        <v>30</v>
      </c>
    </row>
    <row r="37" spans="1:44" ht="15" x14ac:dyDescent="0.3">
      <c r="M37" s="44" t="s">
        <v>117</v>
      </c>
      <c r="N37" s="37" t="s">
        <v>23</v>
      </c>
      <c r="O37" s="37">
        <v>1</v>
      </c>
      <c r="P37" s="40">
        <v>0</v>
      </c>
      <c r="Q37" s="40">
        <v>0</v>
      </c>
      <c r="R37" s="40">
        <v>1</v>
      </c>
      <c r="S37" s="41">
        <v>5.5</v>
      </c>
      <c r="T37" s="41">
        <v>9</v>
      </c>
      <c r="U37" s="40">
        <v>0</v>
      </c>
      <c r="V37" s="40">
        <v>2</v>
      </c>
      <c r="W37" s="40">
        <v>1</v>
      </c>
      <c r="X37" s="28">
        <v>1</v>
      </c>
      <c r="AA37" s="26" t="s">
        <v>118</v>
      </c>
      <c r="AB37" s="37" t="s">
        <v>23</v>
      </c>
      <c r="AC37" s="37" t="s">
        <v>29</v>
      </c>
      <c r="AD37" s="66">
        <v>20</v>
      </c>
      <c r="AH37" s="37" t="s">
        <v>26</v>
      </c>
      <c r="AI37" s="37" t="s">
        <v>23</v>
      </c>
      <c r="AJ37" s="37" t="s">
        <v>33</v>
      </c>
      <c r="AK37" s="37">
        <v>7</v>
      </c>
      <c r="AL37" s="28">
        <v>200</v>
      </c>
    </row>
    <row r="38" spans="1:44" ht="15" x14ac:dyDescent="0.3">
      <c r="M38" s="44" t="s">
        <v>117</v>
      </c>
      <c r="N38" s="37" t="s">
        <v>24</v>
      </c>
      <c r="O38" s="37">
        <v>1</v>
      </c>
      <c r="P38" s="40">
        <v>0</v>
      </c>
      <c r="Q38" s="40">
        <v>0</v>
      </c>
      <c r="R38" s="40">
        <v>1</v>
      </c>
      <c r="S38" s="41">
        <v>6</v>
      </c>
      <c r="T38" s="41">
        <v>9.5</v>
      </c>
      <c r="U38" s="40">
        <v>0</v>
      </c>
      <c r="V38" s="40">
        <v>3</v>
      </c>
      <c r="W38" s="40">
        <v>2</v>
      </c>
      <c r="X38" s="28">
        <v>1</v>
      </c>
      <c r="AA38" s="26" t="s">
        <v>118</v>
      </c>
      <c r="AB38" s="37" t="s">
        <v>24</v>
      </c>
      <c r="AC38" s="37" t="s">
        <v>29</v>
      </c>
      <c r="AD38" s="66">
        <v>20</v>
      </c>
      <c r="AH38" s="37" t="s">
        <v>26</v>
      </c>
      <c r="AI38" s="37" t="s">
        <v>7</v>
      </c>
      <c r="AJ38" s="37" t="s">
        <v>32</v>
      </c>
      <c r="AK38" s="37">
        <v>7</v>
      </c>
      <c r="AL38" s="28">
        <v>18</v>
      </c>
    </row>
    <row r="39" spans="1:44" ht="15" x14ac:dyDescent="0.3">
      <c r="M39" s="44" t="s">
        <v>117</v>
      </c>
      <c r="N39" s="37" t="s">
        <v>8</v>
      </c>
      <c r="O39" s="37">
        <v>1</v>
      </c>
      <c r="P39" s="40">
        <v>0</v>
      </c>
      <c r="Q39" s="40">
        <v>0</v>
      </c>
      <c r="R39" s="40">
        <v>1</v>
      </c>
      <c r="S39" s="41">
        <v>4</v>
      </c>
      <c r="T39" s="41">
        <v>7</v>
      </c>
      <c r="U39" s="3">
        <v>0</v>
      </c>
      <c r="V39" s="40">
        <v>10</v>
      </c>
      <c r="W39" s="40">
        <v>5</v>
      </c>
      <c r="X39" s="28">
        <v>5</v>
      </c>
      <c r="AA39" s="26" t="s">
        <v>118</v>
      </c>
      <c r="AB39" s="37" t="s">
        <v>8</v>
      </c>
      <c r="AC39" s="37" t="s">
        <v>29</v>
      </c>
      <c r="AD39" s="66">
        <v>20</v>
      </c>
      <c r="AH39" s="37" t="s">
        <v>26</v>
      </c>
      <c r="AI39" s="37" t="s">
        <v>8</v>
      </c>
      <c r="AJ39" s="37" t="s">
        <v>37</v>
      </c>
      <c r="AK39" s="37">
        <v>7</v>
      </c>
      <c r="AL39" s="28">
        <v>1200</v>
      </c>
    </row>
    <row r="40" spans="1:44" ht="15" x14ac:dyDescent="0.3">
      <c r="M40" s="44" t="s">
        <v>117</v>
      </c>
      <c r="N40" s="37" t="s">
        <v>6</v>
      </c>
      <c r="O40" s="37">
        <v>2</v>
      </c>
      <c r="P40" s="40">
        <v>0</v>
      </c>
      <c r="Q40" s="40">
        <v>0</v>
      </c>
      <c r="R40" s="40">
        <v>1</v>
      </c>
      <c r="S40" s="41">
        <v>4.4000000000000004</v>
      </c>
      <c r="T40" s="41">
        <v>8</v>
      </c>
      <c r="U40" s="40">
        <v>1</v>
      </c>
      <c r="V40" s="40">
        <v>5</v>
      </c>
      <c r="W40" s="40">
        <v>3</v>
      </c>
      <c r="X40" s="28">
        <v>2</v>
      </c>
      <c r="AA40" s="26" t="s">
        <v>118</v>
      </c>
      <c r="AB40" s="37" t="s">
        <v>6</v>
      </c>
      <c r="AC40" s="37" t="s">
        <v>30</v>
      </c>
      <c r="AD40" s="41">
        <v>1300</v>
      </c>
      <c r="AH40" s="37" t="s">
        <v>117</v>
      </c>
      <c r="AI40" s="37" t="s">
        <v>6</v>
      </c>
      <c r="AJ40" s="37" t="s">
        <v>30</v>
      </c>
      <c r="AK40" s="37">
        <v>1</v>
      </c>
      <c r="AL40" s="28">
        <v>0</v>
      </c>
    </row>
    <row r="41" spans="1:44" ht="15" x14ac:dyDescent="0.3">
      <c r="M41" s="44" t="s">
        <v>117</v>
      </c>
      <c r="N41" s="37" t="s">
        <v>7</v>
      </c>
      <c r="O41" s="37">
        <v>2</v>
      </c>
      <c r="P41" s="40">
        <v>0.3</v>
      </c>
      <c r="Q41" s="40">
        <v>0</v>
      </c>
      <c r="R41" s="40">
        <v>1</v>
      </c>
      <c r="S41" s="41">
        <v>5.8</v>
      </c>
      <c r="T41" s="41">
        <v>10</v>
      </c>
      <c r="U41" s="40">
        <v>0</v>
      </c>
      <c r="V41" s="40">
        <v>2</v>
      </c>
      <c r="W41" s="40">
        <v>1</v>
      </c>
      <c r="X41" s="28">
        <v>1</v>
      </c>
      <c r="AA41" s="26" t="s">
        <v>118</v>
      </c>
      <c r="AB41" s="37" t="s">
        <v>23</v>
      </c>
      <c r="AC41" s="37" t="s">
        <v>31</v>
      </c>
      <c r="AD41" s="41">
        <v>1200</v>
      </c>
      <c r="AH41" s="37" t="s">
        <v>117</v>
      </c>
      <c r="AI41" s="37" t="s">
        <v>23</v>
      </c>
      <c r="AJ41" s="37" t="s">
        <v>31</v>
      </c>
      <c r="AK41" s="37">
        <v>1</v>
      </c>
      <c r="AL41" s="28">
        <v>0</v>
      </c>
    </row>
    <row r="42" spans="1:44" ht="15" x14ac:dyDescent="0.3">
      <c r="M42" s="44" t="s">
        <v>117</v>
      </c>
      <c r="N42" s="37" t="s">
        <v>23</v>
      </c>
      <c r="O42" s="37">
        <v>2</v>
      </c>
      <c r="P42" s="40">
        <v>0.3</v>
      </c>
      <c r="Q42" s="40">
        <v>0</v>
      </c>
      <c r="R42" s="40">
        <v>1</v>
      </c>
      <c r="S42" s="41">
        <v>5.3</v>
      </c>
      <c r="T42" s="41">
        <v>9</v>
      </c>
      <c r="U42" s="40">
        <v>0</v>
      </c>
      <c r="V42" s="40">
        <v>2</v>
      </c>
      <c r="W42" s="40">
        <v>1</v>
      </c>
      <c r="X42" s="28">
        <v>1</v>
      </c>
      <c r="AA42" s="26" t="s">
        <v>118</v>
      </c>
      <c r="AB42" s="37" t="s">
        <v>24</v>
      </c>
      <c r="AC42" s="37" t="s">
        <v>33</v>
      </c>
      <c r="AD42" s="67">
        <v>150</v>
      </c>
      <c r="AH42" s="37" t="s">
        <v>117</v>
      </c>
      <c r="AI42" s="37" t="s">
        <v>24</v>
      </c>
      <c r="AJ42" s="37" t="s">
        <v>33</v>
      </c>
      <c r="AK42" s="37">
        <v>1</v>
      </c>
      <c r="AL42" s="28">
        <v>0</v>
      </c>
    </row>
    <row r="43" spans="1:44" ht="15" x14ac:dyDescent="0.3">
      <c r="M43" s="44" t="s">
        <v>117</v>
      </c>
      <c r="N43" s="37" t="s">
        <v>24</v>
      </c>
      <c r="O43" s="37">
        <v>2</v>
      </c>
      <c r="P43" s="40">
        <v>0.3</v>
      </c>
      <c r="Q43" s="40">
        <v>0</v>
      </c>
      <c r="R43" s="40">
        <v>1</v>
      </c>
      <c r="S43" s="41">
        <v>5.8</v>
      </c>
      <c r="T43" s="41">
        <v>9.5</v>
      </c>
      <c r="U43" s="40">
        <v>0</v>
      </c>
      <c r="V43" s="40">
        <v>3</v>
      </c>
      <c r="W43" s="40">
        <v>2</v>
      </c>
      <c r="X43" s="28">
        <v>1</v>
      </c>
      <c r="AA43" s="26" t="s">
        <v>118</v>
      </c>
      <c r="AB43" s="37" t="s">
        <v>7</v>
      </c>
      <c r="AC43" s="37" t="s">
        <v>32</v>
      </c>
      <c r="AD43" s="41">
        <v>1800</v>
      </c>
      <c r="AH43" s="37" t="s">
        <v>117</v>
      </c>
      <c r="AI43" s="37" t="s">
        <v>7</v>
      </c>
      <c r="AJ43" s="37" t="s">
        <v>32</v>
      </c>
      <c r="AK43" s="37">
        <v>1</v>
      </c>
      <c r="AL43" s="28">
        <v>0</v>
      </c>
    </row>
    <row r="44" spans="1:44" ht="15" x14ac:dyDescent="0.3">
      <c r="M44" s="44" t="s">
        <v>117</v>
      </c>
      <c r="N44" s="37" t="s">
        <v>8</v>
      </c>
      <c r="O44" s="37">
        <v>2</v>
      </c>
      <c r="P44" s="40">
        <v>0.3</v>
      </c>
      <c r="Q44" s="40">
        <v>0</v>
      </c>
      <c r="R44" s="40">
        <v>1</v>
      </c>
      <c r="S44" s="41">
        <v>3.8</v>
      </c>
      <c r="T44" s="41">
        <v>7</v>
      </c>
      <c r="U44" s="40">
        <v>0</v>
      </c>
      <c r="V44" s="40">
        <v>10</v>
      </c>
      <c r="W44" s="40">
        <v>5</v>
      </c>
      <c r="X44" s="28">
        <v>5</v>
      </c>
      <c r="AA44" s="26" t="s">
        <v>118</v>
      </c>
      <c r="AB44" s="37" t="s">
        <v>8</v>
      </c>
      <c r="AC44" s="37" t="s">
        <v>37</v>
      </c>
      <c r="AD44" s="67">
        <v>65</v>
      </c>
      <c r="AH44" s="37" t="s">
        <v>117</v>
      </c>
      <c r="AI44" s="37" t="s">
        <v>8</v>
      </c>
      <c r="AJ44" s="37" t="s">
        <v>37</v>
      </c>
      <c r="AK44" s="37">
        <v>1</v>
      </c>
      <c r="AL44" s="28">
        <v>0</v>
      </c>
    </row>
    <row r="45" spans="1:44" ht="15" x14ac:dyDescent="0.3">
      <c r="M45" s="44" t="s">
        <v>117</v>
      </c>
      <c r="N45" s="37" t="s">
        <v>6</v>
      </c>
      <c r="O45" s="37">
        <v>3</v>
      </c>
      <c r="P45" s="40">
        <v>0.3</v>
      </c>
      <c r="Q45" s="40">
        <v>0</v>
      </c>
      <c r="R45" s="40">
        <v>1</v>
      </c>
      <c r="S45" s="41">
        <v>4.3</v>
      </c>
      <c r="T45" s="41">
        <v>8</v>
      </c>
      <c r="U45" s="40">
        <v>0</v>
      </c>
      <c r="V45" s="40">
        <v>5</v>
      </c>
      <c r="W45" s="40">
        <v>3</v>
      </c>
      <c r="X45" s="28">
        <v>2</v>
      </c>
      <c r="AA45" s="26" t="s">
        <v>118</v>
      </c>
      <c r="AB45" s="37" t="s">
        <v>6</v>
      </c>
      <c r="AC45" s="37" t="s">
        <v>35</v>
      </c>
      <c r="AD45" s="41">
        <v>190000</v>
      </c>
      <c r="AH45" s="37" t="s">
        <v>117</v>
      </c>
      <c r="AI45" s="37" t="s">
        <v>6</v>
      </c>
      <c r="AJ45" s="37" t="s">
        <v>30</v>
      </c>
      <c r="AK45" s="37">
        <v>2</v>
      </c>
      <c r="AL45" s="28">
        <v>0</v>
      </c>
    </row>
    <row r="46" spans="1:44" ht="15" x14ac:dyDescent="0.3">
      <c r="M46" s="44" t="s">
        <v>117</v>
      </c>
      <c r="N46" s="37" t="s">
        <v>7</v>
      </c>
      <c r="O46" s="37">
        <v>3</v>
      </c>
      <c r="P46" s="40">
        <v>0.3</v>
      </c>
      <c r="Q46" s="40">
        <v>0</v>
      </c>
      <c r="R46" s="40">
        <v>1</v>
      </c>
      <c r="S46" s="41">
        <v>5.6</v>
      </c>
      <c r="T46" s="41">
        <v>10</v>
      </c>
      <c r="U46" s="40">
        <v>0</v>
      </c>
      <c r="V46" s="40">
        <v>2</v>
      </c>
      <c r="W46" s="40">
        <v>1</v>
      </c>
      <c r="X46" s="28">
        <v>1</v>
      </c>
      <c r="AA46" s="26" t="s">
        <v>118</v>
      </c>
      <c r="AB46" s="37" t="s">
        <v>7</v>
      </c>
      <c r="AC46" s="37" t="s">
        <v>35</v>
      </c>
      <c r="AD46" s="41">
        <v>14000</v>
      </c>
      <c r="AH46" s="37" t="s">
        <v>117</v>
      </c>
      <c r="AI46" s="37" t="s">
        <v>23</v>
      </c>
      <c r="AJ46" s="37" t="s">
        <v>31</v>
      </c>
      <c r="AK46" s="37">
        <v>2</v>
      </c>
      <c r="AL46" s="28">
        <v>0</v>
      </c>
    </row>
    <row r="47" spans="1:44" ht="15" x14ac:dyDescent="0.3">
      <c r="M47" s="44" t="s">
        <v>117</v>
      </c>
      <c r="N47" s="37" t="s">
        <v>23</v>
      </c>
      <c r="O47" s="37">
        <v>3</v>
      </c>
      <c r="P47" s="40">
        <v>0.3</v>
      </c>
      <c r="Q47" s="40">
        <v>0</v>
      </c>
      <c r="R47" s="40">
        <v>1</v>
      </c>
      <c r="S47" s="41">
        <v>5.0999999999999996</v>
      </c>
      <c r="T47" s="41">
        <v>9</v>
      </c>
      <c r="U47" s="40">
        <v>0</v>
      </c>
      <c r="V47" s="40">
        <v>2</v>
      </c>
      <c r="W47" s="40">
        <v>1</v>
      </c>
      <c r="X47" s="28">
        <v>1</v>
      </c>
      <c r="AA47" s="26" t="s">
        <v>118</v>
      </c>
      <c r="AB47" s="37" t="s">
        <v>23</v>
      </c>
      <c r="AC47" s="37" t="s">
        <v>35</v>
      </c>
      <c r="AD47" s="41">
        <v>10000</v>
      </c>
      <c r="AH47" s="37" t="s">
        <v>117</v>
      </c>
      <c r="AI47" s="37" t="s">
        <v>23</v>
      </c>
      <c r="AJ47" s="37" t="s">
        <v>33</v>
      </c>
      <c r="AK47" s="37">
        <v>2</v>
      </c>
      <c r="AL47" s="28">
        <v>200</v>
      </c>
    </row>
    <row r="48" spans="1:44" ht="15" x14ac:dyDescent="0.3">
      <c r="M48" s="44" t="s">
        <v>117</v>
      </c>
      <c r="N48" s="37" t="s">
        <v>24</v>
      </c>
      <c r="O48" s="37">
        <v>3</v>
      </c>
      <c r="P48" s="40">
        <v>0.3</v>
      </c>
      <c r="Q48" s="40">
        <v>0</v>
      </c>
      <c r="R48" s="40">
        <v>1</v>
      </c>
      <c r="S48" s="41">
        <v>5.6</v>
      </c>
      <c r="T48" s="41">
        <v>9.5</v>
      </c>
      <c r="U48" s="40">
        <v>12</v>
      </c>
      <c r="V48" s="40">
        <v>3</v>
      </c>
      <c r="W48" s="40">
        <v>2</v>
      </c>
      <c r="X48" s="28">
        <v>1</v>
      </c>
      <c r="AA48" s="26" t="s">
        <v>118</v>
      </c>
      <c r="AB48" s="37" t="s">
        <v>24</v>
      </c>
      <c r="AC48" s="37" t="s">
        <v>35</v>
      </c>
      <c r="AD48" s="41">
        <v>10000</v>
      </c>
      <c r="AH48" s="37" t="s">
        <v>117</v>
      </c>
      <c r="AI48" s="37" t="s">
        <v>7</v>
      </c>
      <c r="AJ48" s="37" t="s">
        <v>32</v>
      </c>
      <c r="AK48" s="37">
        <v>2</v>
      </c>
      <c r="AL48" s="28">
        <v>20</v>
      </c>
    </row>
    <row r="49" spans="13:38" ht="15" x14ac:dyDescent="0.3">
      <c r="M49" s="44" t="s">
        <v>117</v>
      </c>
      <c r="N49" s="37" t="s">
        <v>8</v>
      </c>
      <c r="O49" s="37">
        <v>3</v>
      </c>
      <c r="P49" s="40">
        <v>0.3</v>
      </c>
      <c r="Q49" s="40">
        <v>0</v>
      </c>
      <c r="R49" s="40">
        <v>1</v>
      </c>
      <c r="S49" s="41">
        <v>3.7</v>
      </c>
      <c r="T49" s="41">
        <v>7</v>
      </c>
      <c r="U49" s="3">
        <v>0</v>
      </c>
      <c r="V49" s="40">
        <v>10</v>
      </c>
      <c r="W49" s="40">
        <v>5</v>
      </c>
      <c r="X49" s="28">
        <v>5</v>
      </c>
      <c r="AA49" s="26" t="s">
        <v>118</v>
      </c>
      <c r="AB49" s="37" t="s">
        <v>8</v>
      </c>
      <c r="AC49" s="37" t="s">
        <v>35</v>
      </c>
      <c r="AD49" s="41">
        <v>2000</v>
      </c>
      <c r="AH49" s="37" t="s">
        <v>117</v>
      </c>
      <c r="AI49" s="37" t="s">
        <v>8</v>
      </c>
      <c r="AJ49" s="37" t="s">
        <v>37</v>
      </c>
      <c r="AK49" s="37">
        <v>2</v>
      </c>
      <c r="AL49" s="28">
        <v>3000</v>
      </c>
    </row>
    <row r="50" spans="13:38" ht="15" x14ac:dyDescent="0.3">
      <c r="M50" s="44" t="s">
        <v>117</v>
      </c>
      <c r="N50" s="37" t="s">
        <v>6</v>
      </c>
      <c r="O50" s="37">
        <v>4</v>
      </c>
      <c r="P50" s="40">
        <v>0.3</v>
      </c>
      <c r="Q50" s="40">
        <v>0</v>
      </c>
      <c r="R50" s="40">
        <v>1</v>
      </c>
      <c r="S50" s="41">
        <v>4.2</v>
      </c>
      <c r="T50" s="41">
        <v>8</v>
      </c>
      <c r="U50" s="3">
        <v>0</v>
      </c>
      <c r="V50" s="40">
        <v>5</v>
      </c>
      <c r="W50" s="40">
        <v>3</v>
      </c>
      <c r="X50" s="28">
        <v>2</v>
      </c>
      <c r="AA50" s="26" t="s">
        <v>119</v>
      </c>
      <c r="AB50" s="37" t="s">
        <v>6</v>
      </c>
      <c r="AC50" s="37" t="s">
        <v>29</v>
      </c>
      <c r="AD50" s="66">
        <v>20</v>
      </c>
      <c r="AH50" s="37" t="s">
        <v>117</v>
      </c>
      <c r="AI50" s="37" t="s">
        <v>6</v>
      </c>
      <c r="AJ50" s="37" t="s">
        <v>30</v>
      </c>
      <c r="AK50" s="37">
        <v>3</v>
      </c>
      <c r="AL50" s="28">
        <v>0</v>
      </c>
    </row>
    <row r="51" spans="13:38" ht="15" x14ac:dyDescent="0.3">
      <c r="M51" s="44" t="s">
        <v>117</v>
      </c>
      <c r="N51" s="37" t="s">
        <v>7</v>
      </c>
      <c r="O51" s="37">
        <v>4</v>
      </c>
      <c r="P51" s="40">
        <v>0.3</v>
      </c>
      <c r="Q51" s="40">
        <v>0</v>
      </c>
      <c r="R51" s="40">
        <v>1</v>
      </c>
      <c r="S51" s="41">
        <v>5.5</v>
      </c>
      <c r="T51" s="41">
        <v>10</v>
      </c>
      <c r="U51" s="3">
        <v>0</v>
      </c>
      <c r="V51" s="40">
        <v>2</v>
      </c>
      <c r="W51" s="40">
        <v>1</v>
      </c>
      <c r="X51" s="28">
        <v>1</v>
      </c>
      <c r="AA51" s="26" t="s">
        <v>119</v>
      </c>
      <c r="AB51" s="37" t="s">
        <v>7</v>
      </c>
      <c r="AC51" s="37" t="s">
        <v>29</v>
      </c>
      <c r="AD51" s="66">
        <v>20</v>
      </c>
      <c r="AH51" s="37" t="s">
        <v>117</v>
      </c>
      <c r="AI51" s="37" t="s">
        <v>23</v>
      </c>
      <c r="AJ51" s="37" t="s">
        <v>31</v>
      </c>
      <c r="AK51" s="37">
        <v>3</v>
      </c>
      <c r="AL51" s="28">
        <v>30</v>
      </c>
    </row>
    <row r="52" spans="13:38" ht="15" x14ac:dyDescent="0.3">
      <c r="M52" s="44" t="s">
        <v>117</v>
      </c>
      <c r="N52" s="37" t="s">
        <v>23</v>
      </c>
      <c r="O52" s="37">
        <v>4</v>
      </c>
      <c r="P52" s="40">
        <v>0.3</v>
      </c>
      <c r="Q52" s="40">
        <v>0</v>
      </c>
      <c r="R52" s="40">
        <v>1</v>
      </c>
      <c r="S52" s="41">
        <v>5</v>
      </c>
      <c r="T52" s="41">
        <v>9</v>
      </c>
      <c r="U52" s="3">
        <v>0</v>
      </c>
      <c r="V52" s="40">
        <v>2</v>
      </c>
      <c r="W52" s="40">
        <v>1</v>
      </c>
      <c r="X52" s="28">
        <v>1</v>
      </c>
      <c r="AA52" s="26" t="s">
        <v>119</v>
      </c>
      <c r="AB52" s="37" t="s">
        <v>23</v>
      </c>
      <c r="AC52" s="37" t="s">
        <v>29</v>
      </c>
      <c r="AD52" s="66">
        <v>20</v>
      </c>
      <c r="AH52" s="37" t="s">
        <v>117</v>
      </c>
      <c r="AI52" s="37" t="s">
        <v>23</v>
      </c>
      <c r="AJ52" s="37" t="s">
        <v>33</v>
      </c>
      <c r="AK52" s="37">
        <v>3</v>
      </c>
      <c r="AL52" s="28">
        <v>200</v>
      </c>
    </row>
    <row r="53" spans="13:38" ht="15" x14ac:dyDescent="0.3">
      <c r="M53" s="44" t="s">
        <v>117</v>
      </c>
      <c r="N53" s="37" t="s">
        <v>24</v>
      </c>
      <c r="O53" s="37">
        <v>4</v>
      </c>
      <c r="P53" s="40">
        <v>0.3</v>
      </c>
      <c r="Q53" s="40">
        <v>0</v>
      </c>
      <c r="R53" s="40">
        <v>1</v>
      </c>
      <c r="S53" s="41">
        <v>5.5</v>
      </c>
      <c r="T53" s="41">
        <v>9.5</v>
      </c>
      <c r="U53" s="40">
        <v>12</v>
      </c>
      <c r="V53" s="40">
        <v>3</v>
      </c>
      <c r="W53" s="40">
        <v>2</v>
      </c>
      <c r="X53" s="28">
        <v>1</v>
      </c>
      <c r="AA53" s="26" t="s">
        <v>119</v>
      </c>
      <c r="AB53" s="37" t="s">
        <v>24</v>
      </c>
      <c r="AC53" s="37" t="s">
        <v>29</v>
      </c>
      <c r="AD53" s="66">
        <v>20</v>
      </c>
      <c r="AH53" s="37" t="s">
        <v>117</v>
      </c>
      <c r="AI53" s="37" t="s">
        <v>7</v>
      </c>
      <c r="AJ53" s="37" t="s">
        <v>32</v>
      </c>
      <c r="AK53" s="37">
        <v>3</v>
      </c>
      <c r="AL53" s="28">
        <v>0</v>
      </c>
    </row>
    <row r="54" spans="13:38" ht="15" x14ac:dyDescent="0.3">
      <c r="M54" s="44" t="s">
        <v>117</v>
      </c>
      <c r="N54" s="37" t="s">
        <v>8</v>
      </c>
      <c r="O54" s="37">
        <v>4</v>
      </c>
      <c r="P54" s="40">
        <v>0.3</v>
      </c>
      <c r="Q54" s="40">
        <v>0</v>
      </c>
      <c r="R54" s="40">
        <v>1</v>
      </c>
      <c r="S54" s="41">
        <v>3.6</v>
      </c>
      <c r="T54" s="41">
        <v>7</v>
      </c>
      <c r="U54" s="40">
        <v>0</v>
      </c>
      <c r="V54" s="40">
        <v>10</v>
      </c>
      <c r="W54" s="40">
        <v>5</v>
      </c>
      <c r="X54" s="28">
        <v>5</v>
      </c>
      <c r="AA54" s="26" t="s">
        <v>119</v>
      </c>
      <c r="AB54" s="37" t="s">
        <v>8</v>
      </c>
      <c r="AC54" s="37" t="s">
        <v>29</v>
      </c>
      <c r="AD54" s="66">
        <v>20</v>
      </c>
      <c r="AH54" s="37" t="s">
        <v>117</v>
      </c>
      <c r="AI54" s="37" t="s">
        <v>8</v>
      </c>
      <c r="AJ54" s="37" t="s">
        <v>37</v>
      </c>
      <c r="AK54" s="37">
        <v>3</v>
      </c>
      <c r="AL54" s="28">
        <v>3000</v>
      </c>
    </row>
    <row r="55" spans="13:38" ht="15" x14ac:dyDescent="0.3">
      <c r="M55" s="44" t="s">
        <v>117</v>
      </c>
      <c r="N55" s="37" t="s">
        <v>6</v>
      </c>
      <c r="O55" s="37">
        <v>5</v>
      </c>
      <c r="P55" s="40">
        <v>0.3</v>
      </c>
      <c r="Q55" s="40">
        <v>0</v>
      </c>
      <c r="R55" s="40">
        <v>1</v>
      </c>
      <c r="S55" s="41">
        <v>4.0999999999999996</v>
      </c>
      <c r="T55" s="41">
        <v>8</v>
      </c>
      <c r="U55" s="40">
        <v>0</v>
      </c>
      <c r="V55" s="40">
        <v>5</v>
      </c>
      <c r="W55" s="40">
        <v>3</v>
      </c>
      <c r="X55" s="28">
        <v>2</v>
      </c>
      <c r="AA55" s="26" t="s">
        <v>119</v>
      </c>
      <c r="AB55" s="37" t="s">
        <v>6</v>
      </c>
      <c r="AC55" s="37" t="s">
        <v>30</v>
      </c>
      <c r="AD55" s="41">
        <v>1300</v>
      </c>
      <c r="AH55" s="37" t="s">
        <v>117</v>
      </c>
      <c r="AI55" s="37" t="s">
        <v>6</v>
      </c>
      <c r="AJ55" s="37" t="s">
        <v>30</v>
      </c>
      <c r="AK55" s="37">
        <v>4</v>
      </c>
      <c r="AL55" s="28">
        <v>0</v>
      </c>
    </row>
    <row r="56" spans="13:38" ht="15" x14ac:dyDescent="0.3">
      <c r="M56" s="44" t="s">
        <v>117</v>
      </c>
      <c r="N56" s="37" t="s">
        <v>7</v>
      </c>
      <c r="O56" s="37">
        <v>5</v>
      </c>
      <c r="P56" s="40">
        <v>0.3</v>
      </c>
      <c r="Q56" s="40">
        <v>0</v>
      </c>
      <c r="R56" s="40">
        <v>1</v>
      </c>
      <c r="S56" s="41">
        <v>5.4</v>
      </c>
      <c r="T56" s="41">
        <v>10</v>
      </c>
      <c r="U56" s="40">
        <v>0</v>
      </c>
      <c r="V56" s="40">
        <v>2</v>
      </c>
      <c r="W56" s="40">
        <v>1</v>
      </c>
      <c r="X56" s="28">
        <v>1</v>
      </c>
      <c r="AA56" s="26" t="s">
        <v>119</v>
      </c>
      <c r="AB56" s="37" t="s">
        <v>23</v>
      </c>
      <c r="AC56" s="37" t="s">
        <v>31</v>
      </c>
      <c r="AD56" s="41">
        <v>1200</v>
      </c>
      <c r="AH56" s="37" t="s">
        <v>117</v>
      </c>
      <c r="AI56" s="37" t="s">
        <v>23</v>
      </c>
      <c r="AJ56" s="37" t="s">
        <v>31</v>
      </c>
      <c r="AK56" s="37">
        <v>4</v>
      </c>
      <c r="AL56" s="28">
        <v>0</v>
      </c>
    </row>
    <row r="57" spans="13:38" ht="15" x14ac:dyDescent="0.3">
      <c r="M57" s="44" t="s">
        <v>117</v>
      </c>
      <c r="N57" s="37" t="s">
        <v>23</v>
      </c>
      <c r="O57" s="37">
        <v>5</v>
      </c>
      <c r="P57" s="40">
        <v>0.3</v>
      </c>
      <c r="Q57" s="40">
        <v>0</v>
      </c>
      <c r="R57" s="40">
        <v>1</v>
      </c>
      <c r="S57" s="41">
        <v>4.9000000000000004</v>
      </c>
      <c r="T57" s="41">
        <v>9</v>
      </c>
      <c r="U57" s="40">
        <v>0</v>
      </c>
      <c r="V57" s="40">
        <v>2</v>
      </c>
      <c r="W57" s="40">
        <v>1</v>
      </c>
      <c r="X57" s="28">
        <v>1</v>
      </c>
      <c r="AA57" s="26" t="s">
        <v>119</v>
      </c>
      <c r="AB57" s="37" t="s">
        <v>24</v>
      </c>
      <c r="AC57" s="37" t="s">
        <v>33</v>
      </c>
      <c r="AD57" s="67">
        <v>150</v>
      </c>
      <c r="AH57" s="37" t="s">
        <v>117</v>
      </c>
      <c r="AI57" s="37" t="s">
        <v>23</v>
      </c>
      <c r="AJ57" s="37" t="s">
        <v>33</v>
      </c>
      <c r="AK57" s="37">
        <v>4</v>
      </c>
      <c r="AL57" s="28">
        <v>200</v>
      </c>
    </row>
    <row r="58" spans="13:38" ht="15" x14ac:dyDescent="0.3">
      <c r="M58" s="44" t="s">
        <v>117</v>
      </c>
      <c r="N58" s="37" t="s">
        <v>24</v>
      </c>
      <c r="O58" s="37">
        <v>5</v>
      </c>
      <c r="P58" s="40">
        <v>0.3</v>
      </c>
      <c r="Q58" s="40">
        <v>0</v>
      </c>
      <c r="R58" s="40">
        <v>1</v>
      </c>
      <c r="S58" s="41">
        <v>5.4</v>
      </c>
      <c r="T58" s="41">
        <v>9.5</v>
      </c>
      <c r="U58" s="40">
        <v>12</v>
      </c>
      <c r="V58" s="40">
        <v>3</v>
      </c>
      <c r="W58" s="40">
        <v>2</v>
      </c>
      <c r="X58" s="28">
        <v>1</v>
      </c>
      <c r="AA58" s="26" t="s">
        <v>119</v>
      </c>
      <c r="AB58" s="37" t="s">
        <v>7</v>
      </c>
      <c r="AC58" s="37" t="s">
        <v>32</v>
      </c>
      <c r="AD58" s="41">
        <v>1800</v>
      </c>
      <c r="AH58" s="37" t="s">
        <v>117</v>
      </c>
      <c r="AI58" s="37" t="s">
        <v>7</v>
      </c>
      <c r="AJ58" s="37" t="s">
        <v>32</v>
      </c>
      <c r="AK58" s="37">
        <v>4</v>
      </c>
      <c r="AL58" s="28">
        <v>0</v>
      </c>
    </row>
    <row r="59" spans="13:38" ht="15" x14ac:dyDescent="0.3">
      <c r="M59" s="44" t="s">
        <v>117</v>
      </c>
      <c r="N59" s="37" t="s">
        <v>8</v>
      </c>
      <c r="O59" s="37">
        <v>5</v>
      </c>
      <c r="P59" s="40">
        <v>0.3</v>
      </c>
      <c r="Q59" s="40">
        <v>0</v>
      </c>
      <c r="R59" s="40">
        <v>1</v>
      </c>
      <c r="S59" s="41">
        <v>3.5</v>
      </c>
      <c r="T59" s="41">
        <v>7</v>
      </c>
      <c r="U59" s="40">
        <v>0</v>
      </c>
      <c r="V59" s="40">
        <v>10</v>
      </c>
      <c r="W59" s="40">
        <v>5</v>
      </c>
      <c r="X59" s="28">
        <v>5</v>
      </c>
      <c r="AA59" s="26" t="s">
        <v>119</v>
      </c>
      <c r="AB59" s="37" t="s">
        <v>8</v>
      </c>
      <c r="AC59" s="37" t="s">
        <v>37</v>
      </c>
      <c r="AD59" s="67">
        <v>65</v>
      </c>
      <c r="AH59" s="37" t="s">
        <v>117</v>
      </c>
      <c r="AI59" s="37" t="s">
        <v>8</v>
      </c>
      <c r="AJ59" s="37" t="s">
        <v>37</v>
      </c>
      <c r="AK59" s="37">
        <v>4</v>
      </c>
      <c r="AL59" s="28">
        <v>3000</v>
      </c>
    </row>
    <row r="60" spans="13:38" ht="15" x14ac:dyDescent="0.3">
      <c r="M60" s="44" t="s">
        <v>117</v>
      </c>
      <c r="N60" s="37" t="s">
        <v>6</v>
      </c>
      <c r="O60" s="37">
        <v>6</v>
      </c>
      <c r="P60" s="40">
        <v>0.3</v>
      </c>
      <c r="Q60" s="40">
        <v>0</v>
      </c>
      <c r="R60" s="40">
        <v>1</v>
      </c>
      <c r="S60" s="41">
        <v>4</v>
      </c>
      <c r="T60" s="41">
        <v>8</v>
      </c>
      <c r="U60" s="40">
        <v>0</v>
      </c>
      <c r="V60" s="40">
        <v>5</v>
      </c>
      <c r="W60" s="40">
        <v>3</v>
      </c>
      <c r="X60" s="28">
        <v>2</v>
      </c>
      <c r="AA60" s="26" t="s">
        <v>119</v>
      </c>
      <c r="AB60" s="37" t="s">
        <v>6</v>
      </c>
      <c r="AC60" s="37" t="s">
        <v>35</v>
      </c>
      <c r="AD60" s="41">
        <v>190000</v>
      </c>
      <c r="AH60" s="37" t="s">
        <v>117</v>
      </c>
      <c r="AI60" s="37" t="s">
        <v>6</v>
      </c>
      <c r="AJ60" s="37" t="s">
        <v>30</v>
      </c>
      <c r="AK60" s="37">
        <v>5</v>
      </c>
      <c r="AL60" s="28">
        <v>0</v>
      </c>
    </row>
    <row r="61" spans="13:38" ht="15" x14ac:dyDescent="0.3">
      <c r="M61" s="44" t="s">
        <v>117</v>
      </c>
      <c r="N61" s="37" t="s">
        <v>7</v>
      </c>
      <c r="O61" s="37">
        <v>6</v>
      </c>
      <c r="P61" s="40">
        <v>0.3</v>
      </c>
      <c r="Q61" s="40">
        <v>0</v>
      </c>
      <c r="R61" s="40">
        <v>1</v>
      </c>
      <c r="S61" s="41">
        <v>5.3</v>
      </c>
      <c r="T61" s="41">
        <v>10</v>
      </c>
      <c r="U61" s="40">
        <v>0</v>
      </c>
      <c r="V61" s="40">
        <v>2</v>
      </c>
      <c r="W61" s="40">
        <v>1</v>
      </c>
      <c r="X61" s="28">
        <v>1</v>
      </c>
      <c r="AA61" s="26" t="s">
        <v>119</v>
      </c>
      <c r="AB61" s="37" t="s">
        <v>7</v>
      </c>
      <c r="AC61" s="37" t="s">
        <v>35</v>
      </c>
      <c r="AD61" s="41">
        <v>14000</v>
      </c>
      <c r="AH61" s="37" t="s">
        <v>117</v>
      </c>
      <c r="AI61" s="37" t="s">
        <v>23</v>
      </c>
      <c r="AJ61" s="37" t="s">
        <v>31</v>
      </c>
      <c r="AK61" s="37">
        <v>5</v>
      </c>
      <c r="AL61" s="28">
        <v>0</v>
      </c>
    </row>
    <row r="62" spans="13:38" ht="15" x14ac:dyDescent="0.3">
      <c r="M62" s="44" t="s">
        <v>117</v>
      </c>
      <c r="N62" s="37" t="s">
        <v>23</v>
      </c>
      <c r="O62" s="37">
        <v>6</v>
      </c>
      <c r="P62" s="40">
        <v>0.3</v>
      </c>
      <c r="Q62" s="40">
        <v>0</v>
      </c>
      <c r="R62" s="40">
        <v>1</v>
      </c>
      <c r="S62" s="41">
        <v>4.8</v>
      </c>
      <c r="T62" s="41">
        <v>9</v>
      </c>
      <c r="U62" s="40">
        <v>0</v>
      </c>
      <c r="V62" s="40">
        <v>2</v>
      </c>
      <c r="W62" s="40">
        <v>1</v>
      </c>
      <c r="X62" s="28">
        <v>1</v>
      </c>
      <c r="AA62" s="26" t="s">
        <v>119</v>
      </c>
      <c r="AB62" s="37" t="s">
        <v>23</v>
      </c>
      <c r="AC62" s="37" t="s">
        <v>35</v>
      </c>
      <c r="AD62" s="41">
        <v>10000</v>
      </c>
      <c r="AH62" s="37" t="s">
        <v>117</v>
      </c>
      <c r="AI62" s="37" t="s">
        <v>23</v>
      </c>
      <c r="AJ62" s="37" t="s">
        <v>33</v>
      </c>
      <c r="AK62" s="37">
        <v>5</v>
      </c>
      <c r="AL62" s="28">
        <v>200</v>
      </c>
    </row>
    <row r="63" spans="13:38" ht="15" x14ac:dyDescent="0.3">
      <c r="M63" s="44" t="s">
        <v>117</v>
      </c>
      <c r="N63" s="37" t="s">
        <v>24</v>
      </c>
      <c r="O63" s="37">
        <v>6</v>
      </c>
      <c r="P63" s="40">
        <v>0.3</v>
      </c>
      <c r="Q63" s="40">
        <v>0</v>
      </c>
      <c r="R63" s="40">
        <v>1</v>
      </c>
      <c r="S63" s="41">
        <v>5.3</v>
      </c>
      <c r="T63" s="41">
        <v>9.5</v>
      </c>
      <c r="U63" s="40">
        <v>0</v>
      </c>
      <c r="V63" s="40">
        <v>3</v>
      </c>
      <c r="W63" s="40">
        <v>2</v>
      </c>
      <c r="X63" s="28">
        <v>1</v>
      </c>
      <c r="AA63" s="26" t="s">
        <v>119</v>
      </c>
      <c r="AB63" s="37" t="s">
        <v>24</v>
      </c>
      <c r="AC63" s="37" t="s">
        <v>35</v>
      </c>
      <c r="AD63" s="41">
        <v>10000</v>
      </c>
      <c r="AH63" s="37" t="s">
        <v>117</v>
      </c>
      <c r="AI63" s="37" t="s">
        <v>7</v>
      </c>
      <c r="AJ63" s="37" t="s">
        <v>32</v>
      </c>
      <c r="AK63" s="37">
        <v>5</v>
      </c>
      <c r="AL63" s="28">
        <v>0</v>
      </c>
    </row>
    <row r="64" spans="13:38" ht="15" x14ac:dyDescent="0.3">
      <c r="M64" s="44" t="s">
        <v>117</v>
      </c>
      <c r="N64" s="37" t="s">
        <v>8</v>
      </c>
      <c r="O64" s="37">
        <v>6</v>
      </c>
      <c r="P64" s="40">
        <v>0.3</v>
      </c>
      <c r="Q64" s="40">
        <v>0</v>
      </c>
      <c r="R64" s="40">
        <v>1</v>
      </c>
      <c r="S64" s="41">
        <v>3.4</v>
      </c>
      <c r="T64" s="41">
        <v>7</v>
      </c>
      <c r="U64" s="40">
        <v>0</v>
      </c>
      <c r="V64" s="40">
        <v>10</v>
      </c>
      <c r="W64" s="40">
        <v>5</v>
      </c>
      <c r="X64" s="28">
        <v>5</v>
      </c>
      <c r="AA64" s="26" t="s">
        <v>119</v>
      </c>
      <c r="AB64" s="37" t="s">
        <v>8</v>
      </c>
      <c r="AC64" s="37" t="s">
        <v>35</v>
      </c>
      <c r="AD64" s="41">
        <v>2000</v>
      </c>
      <c r="AH64" s="37" t="s">
        <v>117</v>
      </c>
      <c r="AI64" s="37" t="s">
        <v>8</v>
      </c>
      <c r="AJ64" s="37" t="s">
        <v>37</v>
      </c>
      <c r="AK64" s="37">
        <v>5</v>
      </c>
      <c r="AL64" s="28">
        <v>3000</v>
      </c>
    </row>
    <row r="65" spans="13:38" ht="15" x14ac:dyDescent="0.3">
      <c r="M65" s="44" t="s">
        <v>118</v>
      </c>
      <c r="N65" s="37" t="s">
        <v>6</v>
      </c>
      <c r="O65" s="37">
        <v>1</v>
      </c>
      <c r="P65" s="40">
        <v>0</v>
      </c>
      <c r="Q65" s="40" t="s">
        <v>111</v>
      </c>
      <c r="R65" s="40">
        <v>1</v>
      </c>
      <c r="S65" s="41">
        <v>4.5</v>
      </c>
      <c r="T65" s="41">
        <v>8</v>
      </c>
      <c r="U65" s="40">
        <v>0</v>
      </c>
      <c r="V65" s="40">
        <v>5</v>
      </c>
      <c r="W65" s="40">
        <v>3</v>
      </c>
      <c r="X65" s="28">
        <v>2</v>
      </c>
      <c r="AH65" s="37" t="s">
        <v>117</v>
      </c>
      <c r="AI65" s="37" t="s">
        <v>6</v>
      </c>
      <c r="AJ65" s="37" t="s">
        <v>30</v>
      </c>
      <c r="AK65" s="37">
        <v>6</v>
      </c>
      <c r="AL65" s="28">
        <v>300</v>
      </c>
    </row>
    <row r="66" spans="13:38" ht="15" x14ac:dyDescent="0.3">
      <c r="M66" s="44" t="s">
        <v>118</v>
      </c>
      <c r="N66" s="37" t="s">
        <v>7</v>
      </c>
      <c r="O66" s="37">
        <v>1</v>
      </c>
      <c r="P66" s="40">
        <v>0</v>
      </c>
      <c r="Q66" s="40">
        <v>0</v>
      </c>
      <c r="R66" s="40">
        <v>1</v>
      </c>
      <c r="S66" s="41">
        <v>6</v>
      </c>
      <c r="T66" s="41">
        <v>10</v>
      </c>
      <c r="U66" s="40">
        <v>0</v>
      </c>
      <c r="V66" s="40">
        <v>2</v>
      </c>
      <c r="W66" s="40">
        <v>1</v>
      </c>
      <c r="X66" s="28">
        <v>1</v>
      </c>
      <c r="AH66" s="37" t="s">
        <v>117</v>
      </c>
      <c r="AI66" s="37" t="s">
        <v>23</v>
      </c>
      <c r="AJ66" s="37" t="s">
        <v>31</v>
      </c>
      <c r="AK66" s="37">
        <v>6</v>
      </c>
      <c r="AL66" s="28">
        <v>30</v>
      </c>
    </row>
    <row r="67" spans="13:38" ht="15" x14ac:dyDescent="0.3">
      <c r="M67" s="44" t="s">
        <v>118</v>
      </c>
      <c r="N67" s="37" t="s">
        <v>23</v>
      </c>
      <c r="O67" s="37">
        <v>1</v>
      </c>
      <c r="P67" s="40">
        <v>0</v>
      </c>
      <c r="Q67" s="40">
        <v>0</v>
      </c>
      <c r="R67" s="40">
        <v>1</v>
      </c>
      <c r="S67" s="41">
        <v>5.5</v>
      </c>
      <c r="T67" s="41">
        <v>9</v>
      </c>
      <c r="U67" s="40">
        <v>0</v>
      </c>
      <c r="V67" s="40">
        <v>2</v>
      </c>
      <c r="W67" s="40">
        <v>1</v>
      </c>
      <c r="X67" s="28">
        <v>1</v>
      </c>
      <c r="AH67" s="37" t="s">
        <v>117</v>
      </c>
      <c r="AI67" s="37" t="s">
        <v>23</v>
      </c>
      <c r="AJ67" s="37" t="s">
        <v>33</v>
      </c>
      <c r="AK67" s="37">
        <v>6</v>
      </c>
      <c r="AL67" s="28">
        <v>40</v>
      </c>
    </row>
    <row r="68" spans="13:38" ht="15" x14ac:dyDescent="0.3">
      <c r="M68" s="44" t="s">
        <v>118</v>
      </c>
      <c r="N68" s="37" t="s">
        <v>24</v>
      </c>
      <c r="O68" s="37">
        <v>1</v>
      </c>
      <c r="P68" s="40">
        <v>0</v>
      </c>
      <c r="Q68" s="40">
        <v>0</v>
      </c>
      <c r="R68" s="40">
        <v>1</v>
      </c>
      <c r="S68" s="41">
        <v>6</v>
      </c>
      <c r="T68" s="41">
        <v>9.5</v>
      </c>
      <c r="U68" s="40">
        <v>0</v>
      </c>
      <c r="V68" s="40">
        <v>3</v>
      </c>
      <c r="W68" s="40">
        <v>2</v>
      </c>
      <c r="X68" s="28">
        <v>1</v>
      </c>
      <c r="AH68" s="37" t="s">
        <v>117</v>
      </c>
      <c r="AI68" s="37" t="s">
        <v>7</v>
      </c>
      <c r="AJ68" s="37" t="s">
        <v>32</v>
      </c>
      <c r="AK68" s="37">
        <v>6</v>
      </c>
      <c r="AL68" s="28">
        <v>18</v>
      </c>
    </row>
    <row r="69" spans="13:38" ht="15" x14ac:dyDescent="0.3">
      <c r="M69" s="44" t="s">
        <v>118</v>
      </c>
      <c r="N69" s="37" t="s">
        <v>8</v>
      </c>
      <c r="O69" s="37">
        <v>1</v>
      </c>
      <c r="P69" s="40">
        <v>0</v>
      </c>
      <c r="Q69" s="40">
        <v>0</v>
      </c>
      <c r="R69" s="40">
        <v>1</v>
      </c>
      <c r="S69" s="41">
        <v>4</v>
      </c>
      <c r="T69" s="41">
        <v>7</v>
      </c>
      <c r="U69" s="3">
        <v>2</v>
      </c>
      <c r="V69" s="40">
        <v>10</v>
      </c>
      <c r="W69" s="40">
        <v>5</v>
      </c>
      <c r="X69" s="28">
        <v>5</v>
      </c>
      <c r="AH69" s="37" t="s">
        <v>117</v>
      </c>
      <c r="AI69" s="37" t="s">
        <v>8</v>
      </c>
      <c r="AJ69" s="37" t="s">
        <v>37</v>
      </c>
      <c r="AK69" s="37">
        <v>6</v>
      </c>
      <c r="AL69" s="28">
        <v>3000</v>
      </c>
    </row>
    <row r="70" spans="13:38" ht="15" x14ac:dyDescent="0.3">
      <c r="M70" s="44" t="s">
        <v>118</v>
      </c>
      <c r="N70" s="37" t="s">
        <v>6</v>
      </c>
      <c r="O70" s="37">
        <v>2</v>
      </c>
      <c r="P70" s="40">
        <v>0</v>
      </c>
      <c r="Q70" s="40">
        <v>0</v>
      </c>
      <c r="R70" s="40">
        <v>1</v>
      </c>
      <c r="S70" s="41">
        <v>4.4000000000000004</v>
      </c>
      <c r="T70" s="41">
        <v>8</v>
      </c>
      <c r="U70" s="40">
        <v>1</v>
      </c>
      <c r="V70" s="40">
        <v>5</v>
      </c>
      <c r="W70" s="40">
        <v>3</v>
      </c>
      <c r="X70" s="28">
        <v>2</v>
      </c>
      <c r="AH70" s="37" t="s">
        <v>117</v>
      </c>
      <c r="AI70" s="37" t="s">
        <v>6</v>
      </c>
      <c r="AJ70" s="37" t="s">
        <v>30</v>
      </c>
      <c r="AK70" s="37">
        <v>7</v>
      </c>
      <c r="AL70" s="28">
        <v>300</v>
      </c>
    </row>
    <row r="71" spans="13:38" ht="15" x14ac:dyDescent="0.3">
      <c r="M71" s="44" t="s">
        <v>118</v>
      </c>
      <c r="N71" s="37" t="s">
        <v>7</v>
      </c>
      <c r="O71" s="37">
        <v>2</v>
      </c>
      <c r="P71" s="40">
        <v>0.3</v>
      </c>
      <c r="Q71" s="40">
        <v>0</v>
      </c>
      <c r="R71" s="40">
        <v>1</v>
      </c>
      <c r="S71" s="41">
        <v>5.8</v>
      </c>
      <c r="T71" s="41">
        <v>10</v>
      </c>
      <c r="U71" s="40">
        <v>0</v>
      </c>
      <c r="V71" s="40">
        <v>2</v>
      </c>
      <c r="W71" s="40">
        <v>1</v>
      </c>
      <c r="X71" s="28">
        <v>1</v>
      </c>
      <c r="AH71" s="37" t="s">
        <v>117</v>
      </c>
      <c r="AI71" s="37" t="s">
        <v>23</v>
      </c>
      <c r="AJ71" s="37" t="s">
        <v>31</v>
      </c>
      <c r="AK71" s="37">
        <v>7</v>
      </c>
      <c r="AL71" s="28">
        <v>30</v>
      </c>
    </row>
    <row r="72" spans="13:38" ht="15" x14ac:dyDescent="0.3">
      <c r="M72" s="44" t="s">
        <v>118</v>
      </c>
      <c r="N72" s="37" t="s">
        <v>23</v>
      </c>
      <c r="O72" s="37">
        <v>2</v>
      </c>
      <c r="P72" s="40">
        <v>0.3</v>
      </c>
      <c r="Q72" s="40">
        <v>0</v>
      </c>
      <c r="R72" s="40">
        <v>1</v>
      </c>
      <c r="S72" s="41">
        <v>5.3</v>
      </c>
      <c r="T72" s="41">
        <v>9</v>
      </c>
      <c r="U72" s="40">
        <v>0</v>
      </c>
      <c r="V72" s="40">
        <v>2</v>
      </c>
      <c r="W72" s="40">
        <v>1</v>
      </c>
      <c r="X72" s="28">
        <v>1</v>
      </c>
      <c r="AH72" s="37" t="s">
        <v>117</v>
      </c>
      <c r="AI72" s="37" t="s">
        <v>23</v>
      </c>
      <c r="AJ72" s="37" t="s">
        <v>33</v>
      </c>
      <c r="AK72" s="37">
        <v>7</v>
      </c>
      <c r="AL72" s="28">
        <v>200</v>
      </c>
    </row>
    <row r="73" spans="13:38" ht="15" x14ac:dyDescent="0.3">
      <c r="M73" s="44" t="s">
        <v>118</v>
      </c>
      <c r="N73" s="37" t="s">
        <v>24</v>
      </c>
      <c r="O73" s="37">
        <v>2</v>
      </c>
      <c r="P73" s="40">
        <v>0.3</v>
      </c>
      <c r="Q73" s="40">
        <v>0</v>
      </c>
      <c r="R73" s="40">
        <v>1</v>
      </c>
      <c r="S73" s="41">
        <v>5.8</v>
      </c>
      <c r="T73" s="41">
        <v>9.5</v>
      </c>
      <c r="U73" s="40">
        <v>0</v>
      </c>
      <c r="V73" s="40">
        <v>3</v>
      </c>
      <c r="W73" s="40">
        <v>2</v>
      </c>
      <c r="X73" s="28">
        <v>1</v>
      </c>
      <c r="AH73" s="37" t="s">
        <v>117</v>
      </c>
      <c r="AI73" s="37" t="s">
        <v>7</v>
      </c>
      <c r="AJ73" s="37" t="s">
        <v>32</v>
      </c>
      <c r="AK73" s="37">
        <v>7</v>
      </c>
      <c r="AL73" s="28">
        <v>18</v>
      </c>
    </row>
    <row r="74" spans="13:38" ht="15" x14ac:dyDescent="0.3">
      <c r="M74" s="44" t="s">
        <v>118</v>
      </c>
      <c r="N74" s="37" t="s">
        <v>8</v>
      </c>
      <c r="O74" s="37">
        <v>2</v>
      </c>
      <c r="P74" s="40">
        <v>0.3</v>
      </c>
      <c r="Q74" s="40">
        <v>0</v>
      </c>
      <c r="R74" s="40">
        <v>1</v>
      </c>
      <c r="S74" s="41">
        <v>3.8</v>
      </c>
      <c r="T74" s="41">
        <v>7</v>
      </c>
      <c r="U74" s="40">
        <v>0</v>
      </c>
      <c r="V74" s="40">
        <v>10</v>
      </c>
      <c r="W74" s="40">
        <v>5</v>
      </c>
      <c r="X74" s="28">
        <v>5</v>
      </c>
      <c r="AH74" s="37" t="s">
        <v>117</v>
      </c>
      <c r="AI74" s="37" t="s">
        <v>8</v>
      </c>
      <c r="AJ74" s="37" t="s">
        <v>37</v>
      </c>
      <c r="AK74" s="37">
        <v>7</v>
      </c>
      <c r="AL74" s="28">
        <v>1200</v>
      </c>
    </row>
    <row r="75" spans="13:38" ht="15" x14ac:dyDescent="0.3">
      <c r="M75" s="44" t="s">
        <v>118</v>
      </c>
      <c r="N75" s="37" t="s">
        <v>6</v>
      </c>
      <c r="O75" s="37">
        <v>3</v>
      </c>
      <c r="P75" s="40">
        <v>0.3</v>
      </c>
      <c r="Q75" s="40">
        <v>0</v>
      </c>
      <c r="R75" s="40">
        <v>1</v>
      </c>
      <c r="S75" s="41">
        <v>4.3</v>
      </c>
      <c r="T75" s="41">
        <v>8</v>
      </c>
      <c r="U75" s="40">
        <v>0</v>
      </c>
      <c r="V75" s="40">
        <v>5</v>
      </c>
      <c r="W75" s="40">
        <v>3</v>
      </c>
      <c r="X75" s="28">
        <v>2</v>
      </c>
      <c r="AH75" s="37" t="s">
        <v>118</v>
      </c>
      <c r="AI75" s="37" t="s">
        <v>6</v>
      </c>
      <c r="AJ75" s="37" t="s">
        <v>30</v>
      </c>
      <c r="AK75" s="37">
        <v>1</v>
      </c>
      <c r="AL75" s="28">
        <v>0</v>
      </c>
    </row>
    <row r="76" spans="13:38" ht="15" x14ac:dyDescent="0.3">
      <c r="M76" s="44" t="s">
        <v>118</v>
      </c>
      <c r="N76" s="37" t="s">
        <v>7</v>
      </c>
      <c r="O76" s="37">
        <v>3</v>
      </c>
      <c r="P76" s="40">
        <v>0.3</v>
      </c>
      <c r="Q76" s="40">
        <v>0</v>
      </c>
      <c r="R76" s="40">
        <v>1</v>
      </c>
      <c r="S76" s="41">
        <v>5.6</v>
      </c>
      <c r="T76" s="41">
        <v>10</v>
      </c>
      <c r="U76" s="40">
        <v>0</v>
      </c>
      <c r="V76" s="40">
        <v>2</v>
      </c>
      <c r="W76" s="40">
        <v>1</v>
      </c>
      <c r="X76" s="28">
        <v>1</v>
      </c>
      <c r="AH76" s="37" t="s">
        <v>118</v>
      </c>
      <c r="AI76" s="37" t="s">
        <v>23</v>
      </c>
      <c r="AJ76" s="37" t="s">
        <v>31</v>
      </c>
      <c r="AK76" s="37">
        <v>1</v>
      </c>
      <c r="AL76" s="28">
        <v>0</v>
      </c>
    </row>
    <row r="77" spans="13:38" ht="15" x14ac:dyDescent="0.3">
      <c r="M77" s="44" t="s">
        <v>118</v>
      </c>
      <c r="N77" s="37" t="s">
        <v>23</v>
      </c>
      <c r="O77" s="37">
        <v>3</v>
      </c>
      <c r="P77" s="40">
        <v>0.3</v>
      </c>
      <c r="Q77" s="40">
        <v>0</v>
      </c>
      <c r="R77" s="40">
        <v>1</v>
      </c>
      <c r="S77" s="41">
        <v>5.0999999999999996</v>
      </c>
      <c r="T77" s="41">
        <v>9</v>
      </c>
      <c r="U77" s="40">
        <v>0</v>
      </c>
      <c r="V77" s="40">
        <v>2</v>
      </c>
      <c r="W77" s="40">
        <v>1</v>
      </c>
      <c r="X77" s="28">
        <v>1</v>
      </c>
      <c r="AH77" s="37" t="s">
        <v>118</v>
      </c>
      <c r="AI77" s="37" t="s">
        <v>24</v>
      </c>
      <c r="AJ77" s="37" t="s">
        <v>33</v>
      </c>
      <c r="AK77" s="37">
        <v>1</v>
      </c>
      <c r="AL77" s="28">
        <v>0</v>
      </c>
    </row>
    <row r="78" spans="13:38" ht="15" x14ac:dyDescent="0.3">
      <c r="M78" s="44" t="s">
        <v>118</v>
      </c>
      <c r="N78" s="37" t="s">
        <v>24</v>
      </c>
      <c r="O78" s="37">
        <v>3</v>
      </c>
      <c r="P78" s="40">
        <v>0.3</v>
      </c>
      <c r="Q78" s="40">
        <v>0</v>
      </c>
      <c r="R78" s="40">
        <v>1</v>
      </c>
      <c r="S78" s="41">
        <v>5.6</v>
      </c>
      <c r="T78" s="41">
        <v>9.5</v>
      </c>
      <c r="U78" s="40">
        <v>0</v>
      </c>
      <c r="V78" s="40">
        <v>3</v>
      </c>
      <c r="W78" s="40">
        <v>2</v>
      </c>
      <c r="X78" s="28">
        <v>1</v>
      </c>
      <c r="AH78" s="37" t="s">
        <v>118</v>
      </c>
      <c r="AI78" s="37" t="s">
        <v>7</v>
      </c>
      <c r="AJ78" s="37" t="s">
        <v>32</v>
      </c>
      <c r="AK78" s="37">
        <v>1</v>
      </c>
      <c r="AL78" s="28">
        <v>0</v>
      </c>
    </row>
    <row r="79" spans="13:38" ht="15" x14ac:dyDescent="0.3">
      <c r="M79" s="44" t="s">
        <v>118</v>
      </c>
      <c r="N79" s="37" t="s">
        <v>8</v>
      </c>
      <c r="O79" s="37">
        <v>3</v>
      </c>
      <c r="P79" s="40">
        <v>0.3</v>
      </c>
      <c r="Q79" s="40">
        <v>0</v>
      </c>
      <c r="R79" s="40">
        <v>1</v>
      </c>
      <c r="S79" s="41">
        <v>3.7</v>
      </c>
      <c r="T79" s="41">
        <v>7</v>
      </c>
      <c r="U79" s="3">
        <v>0</v>
      </c>
      <c r="V79" s="40">
        <v>10</v>
      </c>
      <c r="W79" s="40">
        <v>5</v>
      </c>
      <c r="X79" s="28">
        <v>5</v>
      </c>
      <c r="AH79" s="37" t="s">
        <v>118</v>
      </c>
      <c r="AI79" s="37" t="s">
        <v>8</v>
      </c>
      <c r="AJ79" s="37" t="s">
        <v>37</v>
      </c>
      <c r="AK79" s="37">
        <v>1</v>
      </c>
      <c r="AL79" s="28">
        <v>0</v>
      </c>
    </row>
    <row r="80" spans="13:38" ht="15" x14ac:dyDescent="0.3">
      <c r="M80" s="44" t="s">
        <v>118</v>
      </c>
      <c r="N80" s="37" t="s">
        <v>6</v>
      </c>
      <c r="O80" s="37">
        <v>4</v>
      </c>
      <c r="P80" s="40">
        <v>0.3</v>
      </c>
      <c r="Q80" s="40">
        <v>0</v>
      </c>
      <c r="R80" s="40">
        <v>1</v>
      </c>
      <c r="S80" s="41">
        <v>4.2</v>
      </c>
      <c r="T80" s="41">
        <v>8</v>
      </c>
      <c r="U80" s="3">
        <v>0</v>
      </c>
      <c r="V80" s="40">
        <v>5</v>
      </c>
      <c r="W80" s="40">
        <v>3</v>
      </c>
      <c r="X80" s="28">
        <v>2</v>
      </c>
      <c r="AH80" s="37" t="s">
        <v>118</v>
      </c>
      <c r="AI80" s="37" t="s">
        <v>6</v>
      </c>
      <c r="AJ80" s="37" t="s">
        <v>30</v>
      </c>
      <c r="AK80" s="37">
        <v>2</v>
      </c>
      <c r="AL80" s="28">
        <v>0</v>
      </c>
    </row>
    <row r="81" spans="13:38" ht="15" x14ac:dyDescent="0.3">
      <c r="M81" s="44" t="s">
        <v>118</v>
      </c>
      <c r="N81" s="37" t="s">
        <v>7</v>
      </c>
      <c r="O81" s="37">
        <v>4</v>
      </c>
      <c r="P81" s="40">
        <v>0.3</v>
      </c>
      <c r="Q81" s="40">
        <v>0</v>
      </c>
      <c r="R81" s="40">
        <v>1</v>
      </c>
      <c r="S81" s="41">
        <v>5.5</v>
      </c>
      <c r="T81" s="41">
        <v>10</v>
      </c>
      <c r="U81" s="3">
        <v>0</v>
      </c>
      <c r="V81" s="40">
        <v>2</v>
      </c>
      <c r="W81" s="40">
        <v>1</v>
      </c>
      <c r="X81" s="28">
        <v>1</v>
      </c>
      <c r="AH81" s="37" t="s">
        <v>118</v>
      </c>
      <c r="AI81" s="37" t="s">
        <v>23</v>
      </c>
      <c r="AJ81" s="37" t="s">
        <v>31</v>
      </c>
      <c r="AK81" s="37">
        <v>2</v>
      </c>
      <c r="AL81" s="28">
        <v>0</v>
      </c>
    </row>
    <row r="82" spans="13:38" ht="15" x14ac:dyDescent="0.3">
      <c r="M82" s="44" t="s">
        <v>118</v>
      </c>
      <c r="N82" s="37" t="s">
        <v>23</v>
      </c>
      <c r="O82" s="37">
        <v>4</v>
      </c>
      <c r="P82" s="40">
        <v>0.3</v>
      </c>
      <c r="Q82" s="40">
        <v>0</v>
      </c>
      <c r="R82" s="40">
        <v>1</v>
      </c>
      <c r="S82" s="41">
        <v>5</v>
      </c>
      <c r="T82" s="41">
        <v>9</v>
      </c>
      <c r="U82" s="3">
        <v>0</v>
      </c>
      <c r="V82" s="40">
        <v>2</v>
      </c>
      <c r="W82" s="40">
        <v>1</v>
      </c>
      <c r="X82" s="28">
        <v>1</v>
      </c>
      <c r="AH82" s="37" t="s">
        <v>118</v>
      </c>
      <c r="AI82" s="37" t="s">
        <v>23</v>
      </c>
      <c r="AJ82" s="37" t="s">
        <v>33</v>
      </c>
      <c r="AK82" s="37">
        <v>2</v>
      </c>
      <c r="AL82" s="28">
        <v>200</v>
      </c>
    </row>
    <row r="83" spans="13:38" ht="15" x14ac:dyDescent="0.3">
      <c r="M83" s="44" t="s">
        <v>118</v>
      </c>
      <c r="N83" s="37" t="s">
        <v>24</v>
      </c>
      <c r="O83" s="37">
        <v>4</v>
      </c>
      <c r="P83" s="40">
        <v>0.3</v>
      </c>
      <c r="Q83" s="40">
        <v>0</v>
      </c>
      <c r="R83" s="40">
        <v>1</v>
      </c>
      <c r="S83" s="41">
        <v>5.5</v>
      </c>
      <c r="T83" s="41">
        <v>9.5</v>
      </c>
      <c r="U83" s="40">
        <v>0</v>
      </c>
      <c r="V83" s="40">
        <v>3</v>
      </c>
      <c r="W83" s="40">
        <v>2</v>
      </c>
      <c r="X83" s="28">
        <v>1</v>
      </c>
      <c r="AH83" s="37" t="s">
        <v>118</v>
      </c>
      <c r="AI83" s="37" t="s">
        <v>7</v>
      </c>
      <c r="AJ83" s="37" t="s">
        <v>32</v>
      </c>
      <c r="AK83" s="37">
        <v>2</v>
      </c>
      <c r="AL83" s="28">
        <v>20</v>
      </c>
    </row>
    <row r="84" spans="13:38" ht="15" x14ac:dyDescent="0.3">
      <c r="M84" s="44" t="s">
        <v>118</v>
      </c>
      <c r="N84" s="37" t="s">
        <v>8</v>
      </c>
      <c r="O84" s="37">
        <v>4</v>
      </c>
      <c r="P84" s="40">
        <v>0.3</v>
      </c>
      <c r="Q84" s="40">
        <v>0</v>
      </c>
      <c r="R84" s="40">
        <v>1</v>
      </c>
      <c r="S84" s="41">
        <v>3.6</v>
      </c>
      <c r="T84" s="41">
        <v>7</v>
      </c>
      <c r="U84" s="40">
        <v>0</v>
      </c>
      <c r="V84" s="40">
        <v>10</v>
      </c>
      <c r="W84" s="40">
        <v>5</v>
      </c>
      <c r="X84" s="28">
        <v>5</v>
      </c>
      <c r="AH84" s="37" t="s">
        <v>118</v>
      </c>
      <c r="AI84" s="37" t="s">
        <v>8</v>
      </c>
      <c r="AJ84" s="37" t="s">
        <v>37</v>
      </c>
      <c r="AK84" s="37">
        <v>2</v>
      </c>
      <c r="AL84" s="28">
        <v>3000</v>
      </c>
    </row>
    <row r="85" spans="13:38" ht="15" x14ac:dyDescent="0.3">
      <c r="M85" s="44" t="s">
        <v>118</v>
      </c>
      <c r="N85" s="37" t="s">
        <v>6</v>
      </c>
      <c r="O85" s="37">
        <v>5</v>
      </c>
      <c r="P85" s="40">
        <v>0.3</v>
      </c>
      <c r="Q85" s="40">
        <v>0</v>
      </c>
      <c r="R85" s="40">
        <v>1</v>
      </c>
      <c r="S85" s="41">
        <v>4.0999999999999996</v>
      </c>
      <c r="T85" s="41">
        <v>8</v>
      </c>
      <c r="U85" s="40">
        <v>0</v>
      </c>
      <c r="V85" s="40">
        <v>5</v>
      </c>
      <c r="W85" s="40">
        <v>3</v>
      </c>
      <c r="X85" s="28">
        <v>2</v>
      </c>
      <c r="AH85" s="37" t="s">
        <v>118</v>
      </c>
      <c r="AI85" s="37" t="s">
        <v>6</v>
      </c>
      <c r="AJ85" s="37" t="s">
        <v>30</v>
      </c>
      <c r="AK85" s="37">
        <v>3</v>
      </c>
      <c r="AL85" s="28">
        <v>0</v>
      </c>
    </row>
    <row r="86" spans="13:38" ht="15" x14ac:dyDescent="0.3">
      <c r="M86" s="44" t="s">
        <v>118</v>
      </c>
      <c r="N86" s="37" t="s">
        <v>7</v>
      </c>
      <c r="O86" s="37">
        <v>5</v>
      </c>
      <c r="P86" s="40">
        <v>0.3</v>
      </c>
      <c r="Q86" s="40">
        <v>0</v>
      </c>
      <c r="R86" s="40">
        <v>1</v>
      </c>
      <c r="S86" s="41">
        <v>5.4</v>
      </c>
      <c r="T86" s="41">
        <v>10</v>
      </c>
      <c r="U86" s="40">
        <v>0</v>
      </c>
      <c r="V86" s="40">
        <v>2</v>
      </c>
      <c r="W86" s="40">
        <v>1</v>
      </c>
      <c r="X86" s="28">
        <v>1</v>
      </c>
      <c r="AH86" s="37" t="s">
        <v>118</v>
      </c>
      <c r="AI86" s="37" t="s">
        <v>23</v>
      </c>
      <c r="AJ86" s="37" t="s">
        <v>31</v>
      </c>
      <c r="AK86" s="37">
        <v>3</v>
      </c>
      <c r="AL86" s="28">
        <v>30</v>
      </c>
    </row>
    <row r="87" spans="13:38" ht="15" x14ac:dyDescent="0.3">
      <c r="M87" s="44" t="s">
        <v>118</v>
      </c>
      <c r="N87" s="37" t="s">
        <v>23</v>
      </c>
      <c r="O87" s="37">
        <v>5</v>
      </c>
      <c r="P87" s="40">
        <v>0.3</v>
      </c>
      <c r="Q87" s="40">
        <v>0</v>
      </c>
      <c r="R87" s="40">
        <v>1</v>
      </c>
      <c r="S87" s="41">
        <v>4.9000000000000004</v>
      </c>
      <c r="T87" s="41">
        <v>9</v>
      </c>
      <c r="U87" s="40">
        <v>0</v>
      </c>
      <c r="V87" s="40">
        <v>2</v>
      </c>
      <c r="W87" s="40">
        <v>1</v>
      </c>
      <c r="X87" s="28">
        <v>1</v>
      </c>
      <c r="AH87" s="37" t="s">
        <v>118</v>
      </c>
      <c r="AI87" s="37" t="s">
        <v>23</v>
      </c>
      <c r="AJ87" s="37" t="s">
        <v>33</v>
      </c>
      <c r="AK87" s="37">
        <v>3</v>
      </c>
      <c r="AL87" s="28">
        <v>200</v>
      </c>
    </row>
    <row r="88" spans="13:38" ht="15" x14ac:dyDescent="0.3">
      <c r="M88" s="44" t="s">
        <v>118</v>
      </c>
      <c r="N88" s="37" t="s">
        <v>24</v>
      </c>
      <c r="O88" s="37">
        <v>5</v>
      </c>
      <c r="P88" s="40">
        <v>0.3</v>
      </c>
      <c r="Q88" s="40">
        <v>0</v>
      </c>
      <c r="R88" s="40">
        <v>1</v>
      </c>
      <c r="S88" s="41">
        <v>5.4</v>
      </c>
      <c r="T88" s="41">
        <v>9.5</v>
      </c>
      <c r="U88" s="40">
        <v>0</v>
      </c>
      <c r="V88" s="40">
        <v>3</v>
      </c>
      <c r="W88" s="40">
        <v>2</v>
      </c>
      <c r="X88" s="28">
        <v>1</v>
      </c>
      <c r="AH88" s="37" t="s">
        <v>118</v>
      </c>
      <c r="AI88" s="37" t="s">
        <v>7</v>
      </c>
      <c r="AJ88" s="37" t="s">
        <v>32</v>
      </c>
      <c r="AK88" s="37">
        <v>3</v>
      </c>
      <c r="AL88" s="28">
        <v>0</v>
      </c>
    </row>
    <row r="89" spans="13:38" ht="15" x14ac:dyDescent="0.3">
      <c r="M89" s="44" t="s">
        <v>118</v>
      </c>
      <c r="N89" s="37" t="s">
        <v>8</v>
      </c>
      <c r="O89" s="37">
        <v>5</v>
      </c>
      <c r="P89" s="40">
        <v>0.3</v>
      </c>
      <c r="Q89" s="40">
        <v>0</v>
      </c>
      <c r="R89" s="40">
        <v>1</v>
      </c>
      <c r="S89" s="41">
        <v>3.5</v>
      </c>
      <c r="T89" s="41">
        <v>7</v>
      </c>
      <c r="U89" s="40">
        <v>0</v>
      </c>
      <c r="V89" s="40">
        <v>10</v>
      </c>
      <c r="W89" s="40">
        <v>5</v>
      </c>
      <c r="X89" s="28">
        <v>5</v>
      </c>
      <c r="AH89" s="37" t="s">
        <v>118</v>
      </c>
      <c r="AI89" s="37" t="s">
        <v>8</v>
      </c>
      <c r="AJ89" s="37" t="s">
        <v>37</v>
      </c>
      <c r="AK89" s="37">
        <v>3</v>
      </c>
      <c r="AL89" s="28">
        <v>3000</v>
      </c>
    </row>
    <row r="90" spans="13:38" ht="15" x14ac:dyDescent="0.3">
      <c r="M90" s="44" t="s">
        <v>118</v>
      </c>
      <c r="N90" s="37" t="s">
        <v>6</v>
      </c>
      <c r="O90" s="37">
        <v>6</v>
      </c>
      <c r="P90" s="40">
        <v>0.3</v>
      </c>
      <c r="Q90" s="40">
        <v>0</v>
      </c>
      <c r="R90" s="40">
        <v>1</v>
      </c>
      <c r="S90" s="41">
        <v>4</v>
      </c>
      <c r="T90" s="41">
        <v>8</v>
      </c>
      <c r="U90" s="40">
        <v>0</v>
      </c>
      <c r="V90" s="40">
        <v>5</v>
      </c>
      <c r="W90" s="40">
        <v>3</v>
      </c>
      <c r="X90" s="28">
        <v>2</v>
      </c>
      <c r="AH90" s="37" t="s">
        <v>118</v>
      </c>
      <c r="AI90" s="37" t="s">
        <v>6</v>
      </c>
      <c r="AJ90" s="37" t="s">
        <v>30</v>
      </c>
      <c r="AK90" s="37">
        <v>4</v>
      </c>
      <c r="AL90" s="28">
        <v>0</v>
      </c>
    </row>
    <row r="91" spans="13:38" ht="15" x14ac:dyDescent="0.3">
      <c r="M91" s="44" t="s">
        <v>118</v>
      </c>
      <c r="N91" s="37" t="s">
        <v>7</v>
      </c>
      <c r="O91" s="37">
        <v>6</v>
      </c>
      <c r="P91" s="40">
        <v>0.3</v>
      </c>
      <c r="Q91" s="40">
        <v>0</v>
      </c>
      <c r="R91" s="40">
        <v>1</v>
      </c>
      <c r="S91" s="41">
        <v>5.3</v>
      </c>
      <c r="T91" s="41">
        <v>10</v>
      </c>
      <c r="U91" s="40">
        <v>0</v>
      </c>
      <c r="V91" s="40">
        <v>2</v>
      </c>
      <c r="W91" s="40">
        <v>1</v>
      </c>
      <c r="X91" s="28">
        <v>1</v>
      </c>
      <c r="AH91" s="37" t="s">
        <v>118</v>
      </c>
      <c r="AI91" s="37" t="s">
        <v>23</v>
      </c>
      <c r="AJ91" s="37" t="s">
        <v>31</v>
      </c>
      <c r="AK91" s="37">
        <v>4</v>
      </c>
      <c r="AL91" s="28">
        <v>0</v>
      </c>
    </row>
    <row r="92" spans="13:38" ht="15" x14ac:dyDescent="0.3">
      <c r="M92" s="44" t="s">
        <v>118</v>
      </c>
      <c r="N92" s="37" t="s">
        <v>23</v>
      </c>
      <c r="O92" s="37">
        <v>6</v>
      </c>
      <c r="P92" s="40">
        <v>0.3</v>
      </c>
      <c r="Q92" s="40">
        <v>0</v>
      </c>
      <c r="R92" s="40">
        <v>1</v>
      </c>
      <c r="S92" s="41">
        <v>4.8</v>
      </c>
      <c r="T92" s="41">
        <v>9</v>
      </c>
      <c r="U92" s="40">
        <v>0</v>
      </c>
      <c r="V92" s="40">
        <v>2</v>
      </c>
      <c r="W92" s="40">
        <v>1</v>
      </c>
      <c r="X92" s="28">
        <v>1</v>
      </c>
      <c r="AH92" s="37" t="s">
        <v>118</v>
      </c>
      <c r="AI92" s="37" t="s">
        <v>23</v>
      </c>
      <c r="AJ92" s="37" t="s">
        <v>33</v>
      </c>
      <c r="AK92" s="37">
        <v>4</v>
      </c>
      <c r="AL92" s="28">
        <v>200</v>
      </c>
    </row>
    <row r="93" spans="13:38" ht="15" x14ac:dyDescent="0.3">
      <c r="M93" s="44" t="s">
        <v>118</v>
      </c>
      <c r="N93" s="37" t="s">
        <v>24</v>
      </c>
      <c r="O93" s="37">
        <v>6</v>
      </c>
      <c r="P93" s="40">
        <v>0.3</v>
      </c>
      <c r="Q93" s="40">
        <v>0</v>
      </c>
      <c r="R93" s="40">
        <v>1</v>
      </c>
      <c r="S93" s="41">
        <v>5.3</v>
      </c>
      <c r="T93" s="41">
        <v>9.5</v>
      </c>
      <c r="U93" s="40">
        <v>1</v>
      </c>
      <c r="V93" s="40">
        <v>3</v>
      </c>
      <c r="W93" s="40">
        <v>2</v>
      </c>
      <c r="X93" s="28">
        <v>1</v>
      </c>
      <c r="AH93" s="37" t="s">
        <v>118</v>
      </c>
      <c r="AI93" s="37" t="s">
        <v>7</v>
      </c>
      <c r="AJ93" s="37" t="s">
        <v>32</v>
      </c>
      <c r="AK93" s="37">
        <v>4</v>
      </c>
      <c r="AL93" s="28">
        <v>0</v>
      </c>
    </row>
    <row r="94" spans="13:38" ht="15" x14ac:dyDescent="0.3">
      <c r="M94" s="44" t="s">
        <v>118</v>
      </c>
      <c r="N94" s="37" t="s">
        <v>8</v>
      </c>
      <c r="O94" s="37">
        <v>6</v>
      </c>
      <c r="P94" s="40">
        <v>0.3</v>
      </c>
      <c r="Q94" s="40">
        <v>0</v>
      </c>
      <c r="R94" s="40">
        <v>1</v>
      </c>
      <c r="S94" s="41">
        <v>3.4</v>
      </c>
      <c r="T94" s="41">
        <v>7</v>
      </c>
      <c r="U94" s="40">
        <v>0</v>
      </c>
      <c r="V94" s="40">
        <v>10</v>
      </c>
      <c r="W94" s="40">
        <v>5</v>
      </c>
      <c r="X94" s="28">
        <v>5</v>
      </c>
      <c r="AH94" s="37" t="s">
        <v>118</v>
      </c>
      <c r="AI94" s="37" t="s">
        <v>8</v>
      </c>
      <c r="AJ94" s="37" t="s">
        <v>37</v>
      </c>
      <c r="AK94" s="37">
        <v>4</v>
      </c>
      <c r="AL94" s="28">
        <v>3000</v>
      </c>
    </row>
    <row r="95" spans="13:38" ht="15" x14ac:dyDescent="0.3">
      <c r="M95" s="44" t="s">
        <v>119</v>
      </c>
      <c r="N95" s="37" t="s">
        <v>6</v>
      </c>
      <c r="O95" s="37">
        <v>1</v>
      </c>
      <c r="P95" s="40">
        <v>0</v>
      </c>
      <c r="Q95" s="40" t="s">
        <v>111</v>
      </c>
      <c r="R95" s="40">
        <v>1</v>
      </c>
      <c r="S95" s="41">
        <v>4.5</v>
      </c>
      <c r="T95" s="41">
        <v>8</v>
      </c>
      <c r="U95" s="40">
        <v>0</v>
      </c>
      <c r="V95" s="40">
        <v>5</v>
      </c>
      <c r="W95" s="40">
        <v>3</v>
      </c>
      <c r="X95" s="28">
        <v>2</v>
      </c>
      <c r="AH95" s="37" t="s">
        <v>118</v>
      </c>
      <c r="AI95" s="37" t="s">
        <v>6</v>
      </c>
      <c r="AJ95" s="37" t="s">
        <v>30</v>
      </c>
      <c r="AK95" s="37">
        <v>5</v>
      </c>
      <c r="AL95" s="28">
        <v>0</v>
      </c>
    </row>
    <row r="96" spans="13:38" ht="15" x14ac:dyDescent="0.3">
      <c r="M96" s="44" t="s">
        <v>119</v>
      </c>
      <c r="N96" s="37" t="s">
        <v>7</v>
      </c>
      <c r="O96" s="37">
        <v>1</v>
      </c>
      <c r="P96" s="40">
        <v>0</v>
      </c>
      <c r="Q96" s="40">
        <v>0</v>
      </c>
      <c r="R96" s="40">
        <v>1</v>
      </c>
      <c r="S96" s="41">
        <v>6</v>
      </c>
      <c r="T96" s="41">
        <v>10</v>
      </c>
      <c r="U96" s="40">
        <v>0</v>
      </c>
      <c r="V96" s="40">
        <v>2</v>
      </c>
      <c r="W96" s="40">
        <v>1</v>
      </c>
      <c r="X96" s="28">
        <v>1</v>
      </c>
      <c r="AH96" s="37" t="s">
        <v>118</v>
      </c>
      <c r="AI96" s="37" t="s">
        <v>23</v>
      </c>
      <c r="AJ96" s="37" t="s">
        <v>31</v>
      </c>
      <c r="AK96" s="37">
        <v>5</v>
      </c>
      <c r="AL96" s="28">
        <v>0</v>
      </c>
    </row>
    <row r="97" spans="13:38" ht="15" x14ac:dyDescent="0.3">
      <c r="M97" s="44" t="s">
        <v>119</v>
      </c>
      <c r="N97" s="37" t="s">
        <v>23</v>
      </c>
      <c r="O97" s="37">
        <v>1</v>
      </c>
      <c r="P97" s="40">
        <v>0</v>
      </c>
      <c r="Q97" s="40">
        <v>0</v>
      </c>
      <c r="R97" s="40">
        <v>1</v>
      </c>
      <c r="S97" s="41">
        <v>5.5</v>
      </c>
      <c r="T97" s="41">
        <v>9</v>
      </c>
      <c r="U97" s="40">
        <v>0</v>
      </c>
      <c r="V97" s="40">
        <v>2</v>
      </c>
      <c r="W97" s="40">
        <v>1</v>
      </c>
      <c r="X97" s="28">
        <v>1</v>
      </c>
      <c r="AH97" s="37" t="s">
        <v>118</v>
      </c>
      <c r="AI97" s="37" t="s">
        <v>23</v>
      </c>
      <c r="AJ97" s="37" t="s">
        <v>33</v>
      </c>
      <c r="AK97" s="37">
        <v>5</v>
      </c>
      <c r="AL97" s="28">
        <v>200</v>
      </c>
    </row>
    <row r="98" spans="13:38" ht="15" x14ac:dyDescent="0.3">
      <c r="M98" s="44" t="s">
        <v>119</v>
      </c>
      <c r="N98" s="37" t="s">
        <v>24</v>
      </c>
      <c r="O98" s="37">
        <v>1</v>
      </c>
      <c r="P98" s="40">
        <v>0</v>
      </c>
      <c r="Q98" s="40">
        <v>0</v>
      </c>
      <c r="R98" s="40">
        <v>1</v>
      </c>
      <c r="S98" s="41">
        <v>6</v>
      </c>
      <c r="T98" s="41">
        <v>9.5</v>
      </c>
      <c r="U98" s="40">
        <v>0</v>
      </c>
      <c r="V98" s="40">
        <v>3</v>
      </c>
      <c r="W98" s="40">
        <v>2</v>
      </c>
      <c r="X98" s="28">
        <v>1</v>
      </c>
      <c r="AH98" s="37" t="s">
        <v>118</v>
      </c>
      <c r="AI98" s="37" t="s">
        <v>7</v>
      </c>
      <c r="AJ98" s="37" t="s">
        <v>32</v>
      </c>
      <c r="AK98" s="37">
        <v>5</v>
      </c>
      <c r="AL98" s="28">
        <v>0</v>
      </c>
    </row>
    <row r="99" spans="13:38" ht="15" x14ac:dyDescent="0.3">
      <c r="M99" s="44" t="s">
        <v>119</v>
      </c>
      <c r="N99" s="37" t="s">
        <v>8</v>
      </c>
      <c r="O99" s="37">
        <v>1</v>
      </c>
      <c r="P99" s="40">
        <v>0</v>
      </c>
      <c r="Q99" s="40">
        <v>0</v>
      </c>
      <c r="R99" s="40">
        <v>1</v>
      </c>
      <c r="S99" s="41">
        <v>4</v>
      </c>
      <c r="T99" s="41">
        <v>7</v>
      </c>
      <c r="U99" s="3">
        <v>0</v>
      </c>
      <c r="V99" s="40">
        <v>10</v>
      </c>
      <c r="W99" s="40">
        <v>5</v>
      </c>
      <c r="X99" s="28">
        <v>5</v>
      </c>
      <c r="AH99" s="37" t="s">
        <v>118</v>
      </c>
      <c r="AI99" s="37" t="s">
        <v>8</v>
      </c>
      <c r="AJ99" s="37" t="s">
        <v>37</v>
      </c>
      <c r="AK99" s="37">
        <v>5</v>
      </c>
      <c r="AL99" s="28">
        <v>3000</v>
      </c>
    </row>
    <row r="100" spans="13:38" ht="15" x14ac:dyDescent="0.3">
      <c r="M100" s="44" t="s">
        <v>119</v>
      </c>
      <c r="N100" s="37" t="s">
        <v>6</v>
      </c>
      <c r="O100" s="37">
        <v>2</v>
      </c>
      <c r="P100" s="40">
        <v>0</v>
      </c>
      <c r="Q100" s="40">
        <v>0</v>
      </c>
      <c r="R100" s="40">
        <v>1</v>
      </c>
      <c r="S100" s="41">
        <v>4.4000000000000004</v>
      </c>
      <c r="T100" s="41">
        <v>8</v>
      </c>
      <c r="U100" s="40">
        <v>1</v>
      </c>
      <c r="V100" s="40">
        <v>5</v>
      </c>
      <c r="W100" s="40">
        <v>3</v>
      </c>
      <c r="X100" s="28">
        <v>2</v>
      </c>
      <c r="AH100" s="37" t="s">
        <v>118</v>
      </c>
      <c r="AI100" s="37" t="s">
        <v>6</v>
      </c>
      <c r="AJ100" s="37" t="s">
        <v>30</v>
      </c>
      <c r="AK100" s="37">
        <v>6</v>
      </c>
      <c r="AL100" s="28">
        <v>300</v>
      </c>
    </row>
    <row r="101" spans="13:38" ht="15" x14ac:dyDescent="0.3">
      <c r="M101" s="44" t="s">
        <v>119</v>
      </c>
      <c r="N101" s="37" t="s">
        <v>7</v>
      </c>
      <c r="O101" s="37">
        <v>2</v>
      </c>
      <c r="P101" s="40">
        <v>0.3</v>
      </c>
      <c r="Q101" s="40">
        <v>0</v>
      </c>
      <c r="R101" s="40">
        <v>1</v>
      </c>
      <c r="S101" s="41">
        <v>5.8</v>
      </c>
      <c r="T101" s="41">
        <v>10</v>
      </c>
      <c r="U101" s="40">
        <v>0</v>
      </c>
      <c r="V101" s="40">
        <v>2</v>
      </c>
      <c r="W101" s="40">
        <v>1</v>
      </c>
      <c r="X101" s="28">
        <v>1</v>
      </c>
      <c r="AH101" s="37" t="s">
        <v>118</v>
      </c>
      <c r="AI101" s="37" t="s">
        <v>23</v>
      </c>
      <c r="AJ101" s="37" t="s">
        <v>31</v>
      </c>
      <c r="AK101" s="37">
        <v>6</v>
      </c>
      <c r="AL101" s="28">
        <v>30</v>
      </c>
    </row>
    <row r="102" spans="13:38" ht="15" x14ac:dyDescent="0.3">
      <c r="M102" s="44" t="s">
        <v>119</v>
      </c>
      <c r="N102" s="37" t="s">
        <v>23</v>
      </c>
      <c r="O102" s="37">
        <v>2</v>
      </c>
      <c r="P102" s="40">
        <v>0.3</v>
      </c>
      <c r="Q102" s="40">
        <v>0</v>
      </c>
      <c r="R102" s="40">
        <v>1</v>
      </c>
      <c r="S102" s="41">
        <v>5.3</v>
      </c>
      <c r="T102" s="41">
        <v>9</v>
      </c>
      <c r="U102" s="40">
        <v>0</v>
      </c>
      <c r="V102" s="40">
        <v>2</v>
      </c>
      <c r="W102" s="40">
        <v>1</v>
      </c>
      <c r="X102" s="28">
        <v>1</v>
      </c>
      <c r="AH102" s="37" t="s">
        <v>118</v>
      </c>
      <c r="AI102" s="37" t="s">
        <v>23</v>
      </c>
      <c r="AJ102" s="37" t="s">
        <v>33</v>
      </c>
      <c r="AK102" s="37">
        <v>6</v>
      </c>
      <c r="AL102" s="28">
        <v>40</v>
      </c>
    </row>
    <row r="103" spans="13:38" ht="15" x14ac:dyDescent="0.3">
      <c r="M103" s="44" t="s">
        <v>119</v>
      </c>
      <c r="N103" s="37" t="s">
        <v>24</v>
      </c>
      <c r="O103" s="37">
        <v>2</v>
      </c>
      <c r="P103" s="40">
        <v>0.3</v>
      </c>
      <c r="Q103" s="40">
        <v>0</v>
      </c>
      <c r="R103" s="40">
        <v>1</v>
      </c>
      <c r="S103" s="41">
        <v>5.8</v>
      </c>
      <c r="T103" s="41">
        <v>9.5</v>
      </c>
      <c r="U103" s="40">
        <v>0</v>
      </c>
      <c r="V103" s="40">
        <v>3</v>
      </c>
      <c r="W103" s="40">
        <v>2</v>
      </c>
      <c r="X103" s="28">
        <v>1</v>
      </c>
      <c r="AH103" s="37" t="s">
        <v>118</v>
      </c>
      <c r="AI103" s="37" t="s">
        <v>7</v>
      </c>
      <c r="AJ103" s="37" t="s">
        <v>32</v>
      </c>
      <c r="AK103" s="37">
        <v>6</v>
      </c>
      <c r="AL103" s="28">
        <v>18</v>
      </c>
    </row>
    <row r="104" spans="13:38" ht="15" x14ac:dyDescent="0.3">
      <c r="M104" s="44" t="s">
        <v>119</v>
      </c>
      <c r="N104" s="37" t="s">
        <v>8</v>
      </c>
      <c r="O104" s="37">
        <v>2</v>
      </c>
      <c r="P104" s="40">
        <v>0.3</v>
      </c>
      <c r="Q104" s="40">
        <v>0</v>
      </c>
      <c r="R104" s="40">
        <v>1</v>
      </c>
      <c r="S104" s="41">
        <v>3.8</v>
      </c>
      <c r="T104" s="41">
        <v>7</v>
      </c>
      <c r="U104" s="40">
        <v>0</v>
      </c>
      <c r="V104" s="40">
        <v>10</v>
      </c>
      <c r="W104" s="40">
        <v>5</v>
      </c>
      <c r="X104" s="28">
        <v>5</v>
      </c>
      <c r="AH104" s="37" t="s">
        <v>118</v>
      </c>
      <c r="AI104" s="37" t="s">
        <v>8</v>
      </c>
      <c r="AJ104" s="37" t="s">
        <v>37</v>
      </c>
      <c r="AK104" s="37">
        <v>6</v>
      </c>
      <c r="AL104" s="28">
        <v>3000</v>
      </c>
    </row>
    <row r="105" spans="13:38" ht="15" x14ac:dyDescent="0.3">
      <c r="M105" s="44" t="s">
        <v>119</v>
      </c>
      <c r="N105" s="37" t="s">
        <v>6</v>
      </c>
      <c r="O105" s="37">
        <v>3</v>
      </c>
      <c r="P105" s="40">
        <v>0.3</v>
      </c>
      <c r="Q105" s="40">
        <v>0</v>
      </c>
      <c r="R105" s="40">
        <v>1</v>
      </c>
      <c r="S105" s="41">
        <v>4.3</v>
      </c>
      <c r="T105" s="41">
        <v>8</v>
      </c>
      <c r="U105" s="40">
        <v>0</v>
      </c>
      <c r="V105" s="40">
        <v>5</v>
      </c>
      <c r="W105" s="40">
        <v>3</v>
      </c>
      <c r="X105" s="28">
        <v>2</v>
      </c>
      <c r="AH105" s="37" t="s">
        <v>118</v>
      </c>
      <c r="AI105" s="37" t="s">
        <v>6</v>
      </c>
      <c r="AJ105" s="37" t="s">
        <v>30</v>
      </c>
      <c r="AK105" s="37">
        <v>7</v>
      </c>
      <c r="AL105" s="28">
        <v>300</v>
      </c>
    </row>
    <row r="106" spans="13:38" ht="15" x14ac:dyDescent="0.3">
      <c r="M106" s="44" t="s">
        <v>119</v>
      </c>
      <c r="N106" s="37" t="s">
        <v>7</v>
      </c>
      <c r="O106" s="37">
        <v>3</v>
      </c>
      <c r="P106" s="40">
        <v>0.3</v>
      </c>
      <c r="Q106" s="40">
        <v>0</v>
      </c>
      <c r="R106" s="40">
        <v>1</v>
      </c>
      <c r="S106" s="41">
        <v>5.6</v>
      </c>
      <c r="T106" s="41">
        <v>10</v>
      </c>
      <c r="U106" s="40">
        <v>2</v>
      </c>
      <c r="V106" s="40">
        <v>2</v>
      </c>
      <c r="W106" s="40">
        <v>1</v>
      </c>
      <c r="X106" s="28">
        <v>1</v>
      </c>
      <c r="AH106" s="37" t="s">
        <v>118</v>
      </c>
      <c r="AI106" s="37" t="s">
        <v>23</v>
      </c>
      <c r="AJ106" s="37" t="s">
        <v>31</v>
      </c>
      <c r="AK106" s="37">
        <v>7</v>
      </c>
      <c r="AL106" s="28">
        <v>30</v>
      </c>
    </row>
    <row r="107" spans="13:38" ht="15" x14ac:dyDescent="0.3">
      <c r="M107" s="44" t="s">
        <v>119</v>
      </c>
      <c r="N107" s="37" t="s">
        <v>23</v>
      </c>
      <c r="O107" s="37">
        <v>3</v>
      </c>
      <c r="P107" s="40">
        <v>0.3</v>
      </c>
      <c r="Q107" s="40">
        <v>0</v>
      </c>
      <c r="R107" s="40">
        <v>1</v>
      </c>
      <c r="S107" s="41">
        <v>5.0999999999999996</v>
      </c>
      <c r="T107" s="41">
        <v>9</v>
      </c>
      <c r="U107" s="40">
        <v>0</v>
      </c>
      <c r="V107" s="40">
        <v>2</v>
      </c>
      <c r="W107" s="40">
        <v>1</v>
      </c>
      <c r="X107" s="28">
        <v>1</v>
      </c>
      <c r="AH107" s="37" t="s">
        <v>118</v>
      </c>
      <c r="AI107" s="37" t="s">
        <v>23</v>
      </c>
      <c r="AJ107" s="37" t="s">
        <v>33</v>
      </c>
      <c r="AK107" s="37">
        <v>7</v>
      </c>
      <c r="AL107" s="28">
        <v>200</v>
      </c>
    </row>
    <row r="108" spans="13:38" ht="15" x14ac:dyDescent="0.3">
      <c r="M108" s="44" t="s">
        <v>119</v>
      </c>
      <c r="N108" s="37" t="s">
        <v>24</v>
      </c>
      <c r="O108" s="37">
        <v>3</v>
      </c>
      <c r="P108" s="40">
        <v>0.3</v>
      </c>
      <c r="Q108" s="40">
        <v>0</v>
      </c>
      <c r="R108" s="40">
        <v>1</v>
      </c>
      <c r="S108" s="41">
        <v>5.6</v>
      </c>
      <c r="T108" s="41">
        <v>9.5</v>
      </c>
      <c r="U108" s="40">
        <v>0</v>
      </c>
      <c r="V108" s="40">
        <v>3</v>
      </c>
      <c r="W108" s="40">
        <v>2</v>
      </c>
      <c r="X108" s="28">
        <v>1</v>
      </c>
      <c r="AH108" s="37" t="s">
        <v>118</v>
      </c>
      <c r="AI108" s="37" t="s">
        <v>7</v>
      </c>
      <c r="AJ108" s="37" t="s">
        <v>32</v>
      </c>
      <c r="AK108" s="37">
        <v>7</v>
      </c>
      <c r="AL108" s="28">
        <v>18</v>
      </c>
    </row>
    <row r="109" spans="13:38" ht="15" x14ac:dyDescent="0.3">
      <c r="M109" s="44" t="s">
        <v>119</v>
      </c>
      <c r="N109" s="37" t="s">
        <v>8</v>
      </c>
      <c r="O109" s="37">
        <v>3</v>
      </c>
      <c r="P109" s="40">
        <v>0.3</v>
      </c>
      <c r="Q109" s="40">
        <v>0</v>
      </c>
      <c r="R109" s="40">
        <v>1</v>
      </c>
      <c r="S109" s="41">
        <v>3.7</v>
      </c>
      <c r="T109" s="41">
        <v>7</v>
      </c>
      <c r="U109" s="3">
        <v>0</v>
      </c>
      <c r="V109" s="40">
        <v>10</v>
      </c>
      <c r="W109" s="40">
        <v>5</v>
      </c>
      <c r="X109" s="28">
        <v>5</v>
      </c>
      <c r="AH109" s="37" t="s">
        <v>118</v>
      </c>
      <c r="AI109" s="37" t="s">
        <v>8</v>
      </c>
      <c r="AJ109" s="37" t="s">
        <v>37</v>
      </c>
      <c r="AK109" s="37">
        <v>7</v>
      </c>
      <c r="AL109" s="28">
        <v>1200</v>
      </c>
    </row>
    <row r="110" spans="13:38" ht="15" x14ac:dyDescent="0.3">
      <c r="M110" s="44" t="s">
        <v>119</v>
      </c>
      <c r="N110" s="37" t="s">
        <v>6</v>
      </c>
      <c r="O110" s="37">
        <v>4</v>
      </c>
      <c r="P110" s="40">
        <v>0.3</v>
      </c>
      <c r="Q110" s="40">
        <v>0</v>
      </c>
      <c r="R110" s="40">
        <v>1</v>
      </c>
      <c r="S110" s="41">
        <v>4.2</v>
      </c>
      <c r="T110" s="41">
        <v>8</v>
      </c>
      <c r="U110" s="3">
        <v>0</v>
      </c>
      <c r="V110" s="40">
        <v>5</v>
      </c>
      <c r="W110" s="40">
        <v>3</v>
      </c>
      <c r="X110" s="28">
        <v>2</v>
      </c>
      <c r="AH110" s="37" t="s">
        <v>119</v>
      </c>
      <c r="AI110" s="37" t="s">
        <v>6</v>
      </c>
      <c r="AJ110" s="37" t="s">
        <v>30</v>
      </c>
      <c r="AK110" s="37">
        <v>1</v>
      </c>
      <c r="AL110" s="28">
        <v>0</v>
      </c>
    </row>
    <row r="111" spans="13:38" ht="15" x14ac:dyDescent="0.3">
      <c r="M111" s="44" t="s">
        <v>119</v>
      </c>
      <c r="N111" s="37" t="s">
        <v>7</v>
      </c>
      <c r="O111" s="37">
        <v>4</v>
      </c>
      <c r="P111" s="40">
        <v>0.3</v>
      </c>
      <c r="Q111" s="40">
        <v>0</v>
      </c>
      <c r="R111" s="40">
        <v>1</v>
      </c>
      <c r="S111" s="41">
        <v>5.5</v>
      </c>
      <c r="T111" s="41">
        <v>10</v>
      </c>
      <c r="U111" s="3">
        <v>0</v>
      </c>
      <c r="V111" s="40">
        <v>2</v>
      </c>
      <c r="W111" s="40">
        <v>1</v>
      </c>
      <c r="X111" s="28">
        <v>1</v>
      </c>
      <c r="AH111" s="37" t="s">
        <v>119</v>
      </c>
      <c r="AI111" s="37" t="s">
        <v>23</v>
      </c>
      <c r="AJ111" s="37" t="s">
        <v>31</v>
      </c>
      <c r="AK111" s="37">
        <v>1</v>
      </c>
      <c r="AL111" s="28">
        <v>0</v>
      </c>
    </row>
    <row r="112" spans="13:38" ht="15" x14ac:dyDescent="0.3">
      <c r="M112" s="44" t="s">
        <v>119</v>
      </c>
      <c r="N112" s="37" t="s">
        <v>23</v>
      </c>
      <c r="O112" s="37">
        <v>4</v>
      </c>
      <c r="P112" s="40">
        <v>0.3</v>
      </c>
      <c r="Q112" s="40">
        <v>0</v>
      </c>
      <c r="R112" s="40">
        <v>1</v>
      </c>
      <c r="S112" s="41">
        <v>5</v>
      </c>
      <c r="T112" s="41">
        <v>9</v>
      </c>
      <c r="U112" s="3">
        <v>0</v>
      </c>
      <c r="V112" s="40">
        <v>2</v>
      </c>
      <c r="W112" s="40">
        <v>1</v>
      </c>
      <c r="X112" s="28">
        <v>1</v>
      </c>
      <c r="AH112" s="37" t="s">
        <v>119</v>
      </c>
      <c r="AI112" s="37" t="s">
        <v>24</v>
      </c>
      <c r="AJ112" s="37" t="s">
        <v>33</v>
      </c>
      <c r="AK112" s="37">
        <v>1</v>
      </c>
      <c r="AL112" s="28">
        <v>0</v>
      </c>
    </row>
    <row r="113" spans="13:38" ht="15" x14ac:dyDescent="0.3">
      <c r="M113" s="44" t="s">
        <v>119</v>
      </c>
      <c r="N113" s="37" t="s">
        <v>24</v>
      </c>
      <c r="O113" s="37">
        <v>4</v>
      </c>
      <c r="P113" s="40">
        <v>0.3</v>
      </c>
      <c r="Q113" s="40">
        <v>0</v>
      </c>
      <c r="R113" s="40">
        <v>1</v>
      </c>
      <c r="S113" s="41">
        <v>5.5</v>
      </c>
      <c r="T113" s="41">
        <v>9.5</v>
      </c>
      <c r="U113" s="40">
        <v>0</v>
      </c>
      <c r="V113" s="40">
        <v>3</v>
      </c>
      <c r="W113" s="40">
        <v>2</v>
      </c>
      <c r="X113" s="28">
        <v>1</v>
      </c>
      <c r="AH113" s="37" t="s">
        <v>119</v>
      </c>
      <c r="AI113" s="37" t="s">
        <v>7</v>
      </c>
      <c r="AJ113" s="37" t="s">
        <v>32</v>
      </c>
      <c r="AK113" s="37">
        <v>1</v>
      </c>
      <c r="AL113" s="28">
        <v>0</v>
      </c>
    </row>
    <row r="114" spans="13:38" ht="15" x14ac:dyDescent="0.3">
      <c r="M114" s="44" t="s">
        <v>119</v>
      </c>
      <c r="N114" s="37" t="s">
        <v>8</v>
      </c>
      <c r="O114" s="37">
        <v>4</v>
      </c>
      <c r="P114" s="40">
        <v>0.3</v>
      </c>
      <c r="Q114" s="40">
        <v>0</v>
      </c>
      <c r="R114" s="40">
        <v>1</v>
      </c>
      <c r="S114" s="41">
        <v>3.6</v>
      </c>
      <c r="T114" s="41">
        <v>7</v>
      </c>
      <c r="U114" s="40">
        <v>0</v>
      </c>
      <c r="V114" s="40">
        <v>10</v>
      </c>
      <c r="W114" s="40">
        <v>5</v>
      </c>
      <c r="X114" s="28">
        <v>5</v>
      </c>
      <c r="AH114" s="37" t="s">
        <v>119</v>
      </c>
      <c r="AI114" s="37" t="s">
        <v>8</v>
      </c>
      <c r="AJ114" s="37" t="s">
        <v>37</v>
      </c>
      <c r="AK114" s="37">
        <v>1</v>
      </c>
      <c r="AL114" s="28">
        <v>0</v>
      </c>
    </row>
    <row r="115" spans="13:38" ht="15" x14ac:dyDescent="0.3">
      <c r="M115" s="44" t="s">
        <v>119</v>
      </c>
      <c r="N115" s="37" t="s">
        <v>6</v>
      </c>
      <c r="O115" s="37">
        <v>5</v>
      </c>
      <c r="P115" s="40">
        <v>0.3</v>
      </c>
      <c r="Q115" s="40">
        <v>0</v>
      </c>
      <c r="R115" s="40">
        <v>1</v>
      </c>
      <c r="S115" s="41">
        <v>4.0999999999999996</v>
      </c>
      <c r="T115" s="41">
        <v>8</v>
      </c>
      <c r="U115" s="40">
        <v>0</v>
      </c>
      <c r="V115" s="40">
        <v>5</v>
      </c>
      <c r="W115" s="40">
        <v>3</v>
      </c>
      <c r="X115" s="28">
        <v>2</v>
      </c>
      <c r="AH115" s="37" t="s">
        <v>119</v>
      </c>
      <c r="AI115" s="37" t="s">
        <v>6</v>
      </c>
      <c r="AJ115" s="37" t="s">
        <v>30</v>
      </c>
      <c r="AK115" s="37">
        <v>2</v>
      </c>
      <c r="AL115" s="28">
        <v>0</v>
      </c>
    </row>
    <row r="116" spans="13:38" ht="15" x14ac:dyDescent="0.3">
      <c r="M116" s="44" t="s">
        <v>119</v>
      </c>
      <c r="N116" s="37" t="s">
        <v>7</v>
      </c>
      <c r="O116" s="37">
        <v>5</v>
      </c>
      <c r="P116" s="40">
        <v>0.3</v>
      </c>
      <c r="Q116" s="40">
        <v>0</v>
      </c>
      <c r="R116" s="40">
        <v>1</v>
      </c>
      <c r="S116" s="41">
        <v>5.4</v>
      </c>
      <c r="T116" s="41">
        <v>10</v>
      </c>
      <c r="U116" s="40">
        <v>0</v>
      </c>
      <c r="V116" s="40">
        <v>2</v>
      </c>
      <c r="W116" s="40">
        <v>1</v>
      </c>
      <c r="X116" s="28">
        <v>1</v>
      </c>
      <c r="AH116" s="37" t="s">
        <v>119</v>
      </c>
      <c r="AI116" s="37" t="s">
        <v>23</v>
      </c>
      <c r="AJ116" s="37" t="s">
        <v>31</v>
      </c>
      <c r="AK116" s="37">
        <v>2</v>
      </c>
      <c r="AL116" s="28">
        <v>0</v>
      </c>
    </row>
    <row r="117" spans="13:38" ht="15" x14ac:dyDescent="0.3">
      <c r="M117" s="44" t="s">
        <v>119</v>
      </c>
      <c r="N117" s="37" t="s">
        <v>23</v>
      </c>
      <c r="O117" s="37">
        <v>5</v>
      </c>
      <c r="P117" s="40">
        <v>0.3</v>
      </c>
      <c r="Q117" s="40">
        <v>0</v>
      </c>
      <c r="R117" s="40">
        <v>1</v>
      </c>
      <c r="S117" s="41">
        <v>4.9000000000000004</v>
      </c>
      <c r="T117" s="41">
        <v>9</v>
      </c>
      <c r="U117" s="40">
        <v>0</v>
      </c>
      <c r="V117" s="40">
        <v>2</v>
      </c>
      <c r="W117" s="40">
        <v>1</v>
      </c>
      <c r="X117" s="28">
        <v>1</v>
      </c>
      <c r="AH117" s="37" t="s">
        <v>119</v>
      </c>
      <c r="AI117" s="37" t="s">
        <v>23</v>
      </c>
      <c r="AJ117" s="37" t="s">
        <v>33</v>
      </c>
      <c r="AK117" s="37">
        <v>2</v>
      </c>
      <c r="AL117" s="28">
        <v>200</v>
      </c>
    </row>
    <row r="118" spans="13:38" ht="15" x14ac:dyDescent="0.3">
      <c r="M118" s="44" t="s">
        <v>119</v>
      </c>
      <c r="N118" s="37" t="s">
        <v>24</v>
      </c>
      <c r="O118" s="37">
        <v>5</v>
      </c>
      <c r="P118" s="40">
        <v>0.3</v>
      </c>
      <c r="Q118" s="40">
        <v>0</v>
      </c>
      <c r="R118" s="40">
        <v>1</v>
      </c>
      <c r="S118" s="41">
        <v>5.4</v>
      </c>
      <c r="T118" s="41">
        <v>9.5</v>
      </c>
      <c r="U118" s="40">
        <v>0</v>
      </c>
      <c r="V118" s="40">
        <v>3</v>
      </c>
      <c r="W118" s="40">
        <v>2</v>
      </c>
      <c r="X118" s="28">
        <v>1</v>
      </c>
      <c r="AH118" s="37" t="s">
        <v>119</v>
      </c>
      <c r="AI118" s="37" t="s">
        <v>7</v>
      </c>
      <c r="AJ118" s="37" t="s">
        <v>32</v>
      </c>
      <c r="AK118" s="37">
        <v>2</v>
      </c>
      <c r="AL118" s="28">
        <v>20</v>
      </c>
    </row>
    <row r="119" spans="13:38" ht="15" x14ac:dyDescent="0.3">
      <c r="M119" s="44" t="s">
        <v>119</v>
      </c>
      <c r="N119" s="37" t="s">
        <v>8</v>
      </c>
      <c r="O119" s="37">
        <v>5</v>
      </c>
      <c r="P119" s="40">
        <v>0.3</v>
      </c>
      <c r="Q119" s="40">
        <v>0</v>
      </c>
      <c r="R119" s="40">
        <v>1</v>
      </c>
      <c r="S119" s="41">
        <v>3.5</v>
      </c>
      <c r="T119" s="41">
        <v>7</v>
      </c>
      <c r="U119" s="40">
        <v>0</v>
      </c>
      <c r="V119" s="40">
        <v>10</v>
      </c>
      <c r="W119" s="40">
        <v>5</v>
      </c>
      <c r="X119" s="28">
        <v>5</v>
      </c>
      <c r="AH119" s="37" t="s">
        <v>119</v>
      </c>
      <c r="AI119" s="37" t="s">
        <v>8</v>
      </c>
      <c r="AJ119" s="37" t="s">
        <v>37</v>
      </c>
      <c r="AK119" s="37">
        <v>2</v>
      </c>
      <c r="AL119" s="28">
        <v>3000</v>
      </c>
    </row>
    <row r="120" spans="13:38" ht="15" x14ac:dyDescent="0.3">
      <c r="M120" s="44" t="s">
        <v>119</v>
      </c>
      <c r="N120" s="37" t="s">
        <v>6</v>
      </c>
      <c r="O120" s="37">
        <v>6</v>
      </c>
      <c r="P120" s="40">
        <v>0.3</v>
      </c>
      <c r="Q120" s="40">
        <v>0</v>
      </c>
      <c r="R120" s="40">
        <v>1</v>
      </c>
      <c r="S120" s="41">
        <v>4</v>
      </c>
      <c r="T120" s="41">
        <v>8</v>
      </c>
      <c r="U120" s="40">
        <v>0</v>
      </c>
      <c r="V120" s="40">
        <v>5</v>
      </c>
      <c r="W120" s="40">
        <v>3</v>
      </c>
      <c r="X120" s="28">
        <v>2</v>
      </c>
      <c r="AH120" s="37" t="s">
        <v>119</v>
      </c>
      <c r="AI120" s="37" t="s">
        <v>6</v>
      </c>
      <c r="AJ120" s="37" t="s">
        <v>30</v>
      </c>
      <c r="AK120" s="37">
        <v>3</v>
      </c>
      <c r="AL120" s="28">
        <v>0</v>
      </c>
    </row>
    <row r="121" spans="13:38" ht="15" x14ac:dyDescent="0.3">
      <c r="M121" s="44" t="s">
        <v>119</v>
      </c>
      <c r="N121" s="37" t="s">
        <v>7</v>
      </c>
      <c r="O121" s="37">
        <v>6</v>
      </c>
      <c r="P121" s="40">
        <v>0.3</v>
      </c>
      <c r="Q121" s="40">
        <v>0</v>
      </c>
      <c r="R121" s="40">
        <v>1</v>
      </c>
      <c r="S121" s="41">
        <v>5.3</v>
      </c>
      <c r="T121" s="41">
        <v>10</v>
      </c>
      <c r="U121" s="40">
        <v>0</v>
      </c>
      <c r="V121" s="40">
        <v>2</v>
      </c>
      <c r="W121" s="40">
        <v>1</v>
      </c>
      <c r="X121" s="28">
        <v>1</v>
      </c>
      <c r="AH121" s="37" t="s">
        <v>119</v>
      </c>
      <c r="AI121" s="37" t="s">
        <v>23</v>
      </c>
      <c r="AJ121" s="37" t="s">
        <v>31</v>
      </c>
      <c r="AK121" s="37">
        <v>3</v>
      </c>
      <c r="AL121" s="28">
        <v>30</v>
      </c>
    </row>
    <row r="122" spans="13:38" ht="15" x14ac:dyDescent="0.3">
      <c r="M122" s="44" t="s">
        <v>119</v>
      </c>
      <c r="N122" s="37" t="s">
        <v>23</v>
      </c>
      <c r="O122" s="37">
        <v>6</v>
      </c>
      <c r="P122" s="40">
        <v>0.3</v>
      </c>
      <c r="Q122" s="40">
        <v>0</v>
      </c>
      <c r="R122" s="40">
        <v>1</v>
      </c>
      <c r="S122" s="41">
        <v>4.8</v>
      </c>
      <c r="T122" s="41">
        <v>9</v>
      </c>
      <c r="U122" s="40">
        <v>0</v>
      </c>
      <c r="V122" s="40">
        <v>2</v>
      </c>
      <c r="W122" s="40">
        <v>1</v>
      </c>
      <c r="X122" s="28">
        <v>1</v>
      </c>
      <c r="AH122" s="37" t="s">
        <v>119</v>
      </c>
      <c r="AI122" s="37" t="s">
        <v>23</v>
      </c>
      <c r="AJ122" s="37" t="s">
        <v>33</v>
      </c>
      <c r="AK122" s="37">
        <v>3</v>
      </c>
      <c r="AL122" s="28">
        <v>200</v>
      </c>
    </row>
    <row r="123" spans="13:38" ht="15" x14ac:dyDescent="0.3">
      <c r="M123" s="44" t="s">
        <v>119</v>
      </c>
      <c r="N123" s="37" t="s">
        <v>24</v>
      </c>
      <c r="O123" s="37">
        <v>6</v>
      </c>
      <c r="P123" s="40">
        <v>0.3</v>
      </c>
      <c r="Q123" s="40">
        <v>0</v>
      </c>
      <c r="R123" s="40">
        <v>1</v>
      </c>
      <c r="S123" s="41">
        <v>5.3</v>
      </c>
      <c r="T123" s="41">
        <v>9.5</v>
      </c>
      <c r="U123" s="40">
        <v>0</v>
      </c>
      <c r="V123" s="40">
        <v>3</v>
      </c>
      <c r="W123" s="40">
        <v>2</v>
      </c>
      <c r="X123" s="28">
        <v>1</v>
      </c>
      <c r="AH123" s="37" t="s">
        <v>119</v>
      </c>
      <c r="AI123" s="37" t="s">
        <v>7</v>
      </c>
      <c r="AJ123" s="37" t="s">
        <v>32</v>
      </c>
      <c r="AK123" s="37">
        <v>3</v>
      </c>
      <c r="AL123" s="28">
        <v>0</v>
      </c>
    </row>
    <row r="124" spans="13:38" ht="15" x14ac:dyDescent="0.3">
      <c r="M124" s="44" t="s">
        <v>119</v>
      </c>
      <c r="N124" s="37" t="s">
        <v>8</v>
      </c>
      <c r="O124" s="37">
        <v>6</v>
      </c>
      <c r="P124" s="40">
        <v>0.3</v>
      </c>
      <c r="Q124" s="40">
        <v>0</v>
      </c>
      <c r="R124" s="40">
        <v>1</v>
      </c>
      <c r="S124" s="41">
        <v>3.4</v>
      </c>
      <c r="T124" s="41">
        <v>7</v>
      </c>
      <c r="U124" s="40">
        <v>0</v>
      </c>
      <c r="V124" s="40">
        <v>10</v>
      </c>
      <c r="W124" s="40">
        <v>5</v>
      </c>
      <c r="X124" s="28">
        <v>5</v>
      </c>
      <c r="AH124" s="37" t="s">
        <v>119</v>
      </c>
      <c r="AI124" s="37" t="s">
        <v>8</v>
      </c>
      <c r="AJ124" s="37" t="s">
        <v>37</v>
      </c>
      <c r="AK124" s="37">
        <v>3</v>
      </c>
      <c r="AL124" s="28">
        <v>3000</v>
      </c>
    </row>
    <row r="125" spans="13:38" ht="15" x14ac:dyDescent="0.3">
      <c r="AH125" s="37" t="s">
        <v>119</v>
      </c>
      <c r="AI125" s="37" t="s">
        <v>6</v>
      </c>
      <c r="AJ125" s="37" t="s">
        <v>30</v>
      </c>
      <c r="AK125" s="37">
        <v>4</v>
      </c>
      <c r="AL125" s="28">
        <v>0</v>
      </c>
    </row>
    <row r="126" spans="13:38" ht="15" x14ac:dyDescent="0.3">
      <c r="AH126" s="37" t="s">
        <v>119</v>
      </c>
      <c r="AI126" s="37" t="s">
        <v>23</v>
      </c>
      <c r="AJ126" s="37" t="s">
        <v>31</v>
      </c>
      <c r="AK126" s="37">
        <v>4</v>
      </c>
      <c r="AL126" s="28">
        <v>0</v>
      </c>
    </row>
    <row r="127" spans="13:38" ht="15" x14ac:dyDescent="0.3">
      <c r="AH127" s="37" t="s">
        <v>119</v>
      </c>
      <c r="AI127" s="37" t="s">
        <v>23</v>
      </c>
      <c r="AJ127" s="37" t="s">
        <v>33</v>
      </c>
      <c r="AK127" s="37">
        <v>4</v>
      </c>
      <c r="AL127" s="28">
        <v>200</v>
      </c>
    </row>
    <row r="128" spans="13:38" ht="15" x14ac:dyDescent="0.3">
      <c r="AH128" s="37" t="s">
        <v>119</v>
      </c>
      <c r="AI128" s="37" t="s">
        <v>7</v>
      </c>
      <c r="AJ128" s="37" t="s">
        <v>32</v>
      </c>
      <c r="AK128" s="37">
        <v>4</v>
      </c>
      <c r="AL128" s="28">
        <v>0</v>
      </c>
    </row>
    <row r="129" spans="34:38" ht="15" x14ac:dyDescent="0.3">
      <c r="AH129" s="37" t="s">
        <v>119</v>
      </c>
      <c r="AI129" s="37" t="s">
        <v>8</v>
      </c>
      <c r="AJ129" s="37" t="s">
        <v>37</v>
      </c>
      <c r="AK129" s="37">
        <v>4</v>
      </c>
      <c r="AL129" s="28">
        <v>3000</v>
      </c>
    </row>
    <row r="130" spans="34:38" ht="15" x14ac:dyDescent="0.3">
      <c r="AH130" s="37" t="s">
        <v>119</v>
      </c>
      <c r="AI130" s="37" t="s">
        <v>6</v>
      </c>
      <c r="AJ130" s="37" t="s">
        <v>30</v>
      </c>
      <c r="AK130" s="37">
        <v>5</v>
      </c>
      <c r="AL130" s="28">
        <v>0</v>
      </c>
    </row>
    <row r="131" spans="34:38" ht="15" x14ac:dyDescent="0.3">
      <c r="AH131" s="37" t="s">
        <v>119</v>
      </c>
      <c r="AI131" s="37" t="s">
        <v>23</v>
      </c>
      <c r="AJ131" s="37" t="s">
        <v>31</v>
      </c>
      <c r="AK131" s="37">
        <v>5</v>
      </c>
      <c r="AL131" s="28">
        <v>0</v>
      </c>
    </row>
    <row r="132" spans="34:38" ht="15" x14ac:dyDescent="0.3">
      <c r="AH132" s="37" t="s">
        <v>119</v>
      </c>
      <c r="AI132" s="37" t="s">
        <v>23</v>
      </c>
      <c r="AJ132" s="37" t="s">
        <v>33</v>
      </c>
      <c r="AK132" s="37">
        <v>5</v>
      </c>
      <c r="AL132" s="28">
        <v>200</v>
      </c>
    </row>
    <row r="133" spans="34:38" ht="15" x14ac:dyDescent="0.3">
      <c r="AH133" s="37" t="s">
        <v>119</v>
      </c>
      <c r="AI133" s="37" t="s">
        <v>7</v>
      </c>
      <c r="AJ133" s="37" t="s">
        <v>32</v>
      </c>
      <c r="AK133" s="37">
        <v>5</v>
      </c>
      <c r="AL133" s="28">
        <v>0</v>
      </c>
    </row>
    <row r="134" spans="34:38" ht="15" x14ac:dyDescent="0.3">
      <c r="AH134" s="37" t="s">
        <v>119</v>
      </c>
      <c r="AI134" s="37" t="s">
        <v>8</v>
      </c>
      <c r="AJ134" s="37" t="s">
        <v>37</v>
      </c>
      <c r="AK134" s="37">
        <v>5</v>
      </c>
      <c r="AL134" s="28">
        <v>3000</v>
      </c>
    </row>
    <row r="135" spans="34:38" ht="15" x14ac:dyDescent="0.3">
      <c r="AH135" s="37" t="s">
        <v>119</v>
      </c>
      <c r="AI135" s="37" t="s">
        <v>6</v>
      </c>
      <c r="AJ135" s="37" t="s">
        <v>30</v>
      </c>
      <c r="AK135" s="37">
        <v>6</v>
      </c>
      <c r="AL135" s="28">
        <v>300</v>
      </c>
    </row>
    <row r="136" spans="34:38" ht="15" x14ac:dyDescent="0.3">
      <c r="AH136" s="37" t="s">
        <v>119</v>
      </c>
      <c r="AI136" s="37" t="s">
        <v>23</v>
      </c>
      <c r="AJ136" s="37" t="s">
        <v>31</v>
      </c>
      <c r="AK136" s="37">
        <v>6</v>
      </c>
      <c r="AL136" s="28">
        <v>30</v>
      </c>
    </row>
    <row r="137" spans="34:38" ht="15" x14ac:dyDescent="0.3">
      <c r="AH137" s="37" t="s">
        <v>119</v>
      </c>
      <c r="AI137" s="37" t="s">
        <v>23</v>
      </c>
      <c r="AJ137" s="37" t="s">
        <v>33</v>
      </c>
      <c r="AK137" s="37">
        <v>6</v>
      </c>
      <c r="AL137" s="28">
        <v>40</v>
      </c>
    </row>
    <row r="138" spans="34:38" ht="15" x14ac:dyDescent="0.3">
      <c r="AH138" s="37" t="s">
        <v>119</v>
      </c>
      <c r="AI138" s="37" t="s">
        <v>7</v>
      </c>
      <c r="AJ138" s="37" t="s">
        <v>32</v>
      </c>
      <c r="AK138" s="37">
        <v>6</v>
      </c>
      <c r="AL138" s="28">
        <v>18</v>
      </c>
    </row>
    <row r="139" spans="34:38" ht="15" x14ac:dyDescent="0.3">
      <c r="AH139" s="37" t="s">
        <v>119</v>
      </c>
      <c r="AI139" s="37" t="s">
        <v>8</v>
      </c>
      <c r="AJ139" s="37" t="s">
        <v>37</v>
      </c>
      <c r="AK139" s="37">
        <v>6</v>
      </c>
      <c r="AL139" s="28">
        <v>3000</v>
      </c>
    </row>
    <row r="140" spans="34:38" ht="15" x14ac:dyDescent="0.3">
      <c r="AH140" s="37" t="s">
        <v>119</v>
      </c>
      <c r="AI140" s="37" t="s">
        <v>6</v>
      </c>
      <c r="AJ140" s="37" t="s">
        <v>30</v>
      </c>
      <c r="AK140" s="37">
        <v>7</v>
      </c>
      <c r="AL140" s="28">
        <v>300</v>
      </c>
    </row>
    <row r="141" spans="34:38" ht="15" x14ac:dyDescent="0.3">
      <c r="AH141" s="37" t="s">
        <v>119</v>
      </c>
      <c r="AI141" s="37" t="s">
        <v>23</v>
      </c>
      <c r="AJ141" s="37" t="s">
        <v>31</v>
      </c>
      <c r="AK141" s="37">
        <v>7</v>
      </c>
      <c r="AL141" s="28">
        <v>30</v>
      </c>
    </row>
    <row r="142" spans="34:38" ht="15" x14ac:dyDescent="0.3">
      <c r="AH142" s="37" t="s">
        <v>119</v>
      </c>
      <c r="AI142" s="37" t="s">
        <v>23</v>
      </c>
      <c r="AJ142" s="37" t="s">
        <v>33</v>
      </c>
      <c r="AK142" s="37">
        <v>7</v>
      </c>
      <c r="AL142" s="28">
        <v>200</v>
      </c>
    </row>
    <row r="143" spans="34:38" ht="15" x14ac:dyDescent="0.3">
      <c r="AH143" s="37" t="s">
        <v>119</v>
      </c>
      <c r="AI143" s="37" t="s">
        <v>7</v>
      </c>
      <c r="AJ143" s="37" t="s">
        <v>32</v>
      </c>
      <c r="AK143" s="37">
        <v>7</v>
      </c>
      <c r="AL143" s="28">
        <v>18</v>
      </c>
    </row>
    <row r="144" spans="34:38" ht="15" x14ac:dyDescent="0.3">
      <c r="AH144" s="37" t="s">
        <v>119</v>
      </c>
      <c r="AI144" s="37" t="s">
        <v>8</v>
      </c>
      <c r="AJ144" s="37" t="s">
        <v>37</v>
      </c>
      <c r="AK144" s="37">
        <v>7</v>
      </c>
      <c r="AL144" s="28">
        <v>1200</v>
      </c>
    </row>
  </sheetData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phoneticPr fontId="17" type="noConversion"/>
  <hyperlinks>
    <hyperlink ref="H2" r:id="rId1" xr:uid="{E4A24E1D-0B53-4FFE-B286-B28389C5E801}"/>
    <hyperlink ref="J2" r:id="rId2" xr:uid="{6117E265-DF5E-44E2-AB70-A460F232153F}"/>
    <hyperlink ref="L2" r:id="rId3" xr:uid="{2D2D4688-30A3-4BC5-AB13-4DF5317370FD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F1BA-E2BA-4FAC-BCCC-2244CCA99E2B}">
  <dimension ref="A1:E37"/>
  <sheetViews>
    <sheetView workbookViewId="0">
      <selection activeCell="H14" sqref="H14"/>
    </sheetView>
  </sheetViews>
  <sheetFormatPr baseColWidth="10" defaultColWidth="11.44140625" defaultRowHeight="14.4" x14ac:dyDescent="0.3"/>
  <sheetData>
    <row r="1" spans="1:5" ht="62.4" x14ac:dyDescent="0.3">
      <c r="A1" s="36" t="s">
        <v>53</v>
      </c>
      <c r="B1" s="36" t="s">
        <v>54</v>
      </c>
      <c r="C1" s="36" t="s">
        <v>89</v>
      </c>
      <c r="D1" s="36" t="s">
        <v>55</v>
      </c>
      <c r="E1" s="25" t="s">
        <v>92</v>
      </c>
    </row>
    <row r="2" spans="1:5" ht="15.6" x14ac:dyDescent="0.3">
      <c r="A2" s="39" t="s">
        <v>25</v>
      </c>
      <c r="B2" s="39" t="s">
        <v>44</v>
      </c>
      <c r="C2" s="39" t="s">
        <v>51</v>
      </c>
      <c r="D2" s="36" t="s">
        <v>43</v>
      </c>
      <c r="E2" s="30" t="s">
        <v>38</v>
      </c>
    </row>
    <row r="3" spans="1:5" ht="15" x14ac:dyDescent="0.3">
      <c r="A3" s="37" t="s">
        <v>26</v>
      </c>
      <c r="B3" s="37" t="s">
        <v>6</v>
      </c>
      <c r="C3" s="37" t="s">
        <v>30</v>
      </c>
      <c r="D3" s="37">
        <v>1</v>
      </c>
      <c r="E3" s="28">
        <v>120</v>
      </c>
    </row>
    <row r="4" spans="1:5" ht="15" x14ac:dyDescent="0.3">
      <c r="A4" s="37" t="s">
        <v>26</v>
      </c>
      <c r="B4" s="37" t="s">
        <v>23</v>
      </c>
      <c r="C4" s="37" t="s">
        <v>31</v>
      </c>
      <c r="D4" s="37">
        <v>1</v>
      </c>
      <c r="E4" s="28">
        <v>8</v>
      </c>
    </row>
    <row r="5" spans="1:5" ht="15" x14ac:dyDescent="0.3">
      <c r="A5" s="37" t="s">
        <v>26</v>
      </c>
      <c r="B5" s="37" t="s">
        <v>24</v>
      </c>
      <c r="C5" s="37" t="s">
        <v>33</v>
      </c>
      <c r="D5" s="37">
        <v>1</v>
      </c>
      <c r="E5" s="28">
        <v>150</v>
      </c>
    </row>
    <row r="6" spans="1:5" ht="15" x14ac:dyDescent="0.3">
      <c r="A6" s="37" t="s">
        <v>26</v>
      </c>
      <c r="B6" s="37" t="s">
        <v>7</v>
      </c>
      <c r="C6" s="37" t="s">
        <v>32</v>
      </c>
      <c r="D6" s="37">
        <v>1</v>
      </c>
      <c r="E6" s="28">
        <v>15</v>
      </c>
    </row>
    <row r="7" spans="1:5" ht="15" x14ac:dyDescent="0.3">
      <c r="A7" s="37" t="s">
        <v>26</v>
      </c>
      <c r="B7" s="37" t="s">
        <v>8</v>
      </c>
      <c r="C7" s="37" t="s">
        <v>37</v>
      </c>
      <c r="D7" s="37">
        <v>1</v>
      </c>
      <c r="E7" s="28">
        <v>1800</v>
      </c>
    </row>
    <row r="8" spans="1:5" ht="15" x14ac:dyDescent="0.3">
      <c r="A8" s="37" t="s">
        <v>26</v>
      </c>
      <c r="B8" s="37" t="s">
        <v>6</v>
      </c>
      <c r="C8" s="37" t="s">
        <v>30</v>
      </c>
      <c r="D8" s="37">
        <v>2</v>
      </c>
      <c r="E8" s="28">
        <v>200</v>
      </c>
    </row>
    <row r="9" spans="1:5" ht="15" x14ac:dyDescent="0.3">
      <c r="A9" s="37" t="s">
        <v>26</v>
      </c>
      <c r="B9" s="37" t="s">
        <v>23</v>
      </c>
      <c r="C9" s="37" t="s">
        <v>31</v>
      </c>
      <c r="D9" s="37">
        <v>2</v>
      </c>
      <c r="E9" s="28">
        <v>12</v>
      </c>
    </row>
    <row r="10" spans="1:5" ht="15" x14ac:dyDescent="0.3">
      <c r="A10" s="37" t="s">
        <v>26</v>
      </c>
      <c r="B10" s="37" t="s">
        <v>24</v>
      </c>
      <c r="C10" s="37" t="s">
        <v>33</v>
      </c>
      <c r="D10" s="37">
        <v>2</v>
      </c>
      <c r="E10" s="28">
        <v>250</v>
      </c>
    </row>
    <row r="11" spans="1:5" ht="15" x14ac:dyDescent="0.3">
      <c r="A11" s="37" t="s">
        <v>26</v>
      </c>
      <c r="B11" s="37" t="s">
        <v>7</v>
      </c>
      <c r="C11" s="37" t="s">
        <v>32</v>
      </c>
      <c r="D11" s="37">
        <v>2</v>
      </c>
      <c r="E11" s="28">
        <v>22</v>
      </c>
    </row>
    <row r="12" spans="1:5" ht="15" x14ac:dyDescent="0.3">
      <c r="A12" s="37" t="s">
        <v>26</v>
      </c>
      <c r="B12" s="37" t="s">
        <v>8</v>
      </c>
      <c r="C12" s="37" t="s">
        <v>37</v>
      </c>
      <c r="D12" s="37">
        <v>2</v>
      </c>
      <c r="E12" s="28">
        <v>3500</v>
      </c>
    </row>
    <row r="13" spans="1:5" ht="15" x14ac:dyDescent="0.3">
      <c r="A13" s="37" t="s">
        <v>26</v>
      </c>
      <c r="B13" s="37" t="s">
        <v>6</v>
      </c>
      <c r="C13" s="37" t="s">
        <v>30</v>
      </c>
      <c r="D13" s="37">
        <v>3</v>
      </c>
      <c r="E13" s="28">
        <v>250</v>
      </c>
    </row>
    <row r="14" spans="1:5" ht="15" x14ac:dyDescent="0.3">
      <c r="A14" s="37" t="s">
        <v>26</v>
      </c>
      <c r="B14" s="37" t="s">
        <v>23</v>
      </c>
      <c r="C14" s="37" t="s">
        <v>31</v>
      </c>
      <c r="D14" s="37">
        <v>3</v>
      </c>
      <c r="E14" s="28">
        <v>15</v>
      </c>
    </row>
    <row r="15" spans="1:5" ht="15" x14ac:dyDescent="0.3">
      <c r="A15" s="37" t="s">
        <v>26</v>
      </c>
      <c r="B15" s="37" t="s">
        <v>24</v>
      </c>
      <c r="C15" s="37" t="s">
        <v>33</v>
      </c>
      <c r="D15" s="37">
        <v>3</v>
      </c>
      <c r="E15" s="28">
        <v>300</v>
      </c>
    </row>
    <row r="16" spans="1:5" ht="15" x14ac:dyDescent="0.3">
      <c r="A16" s="37" t="s">
        <v>26</v>
      </c>
      <c r="B16" s="37" t="s">
        <v>7</v>
      </c>
      <c r="C16" s="37" t="s">
        <v>32</v>
      </c>
      <c r="D16" s="37">
        <v>3</v>
      </c>
      <c r="E16" s="28">
        <v>28</v>
      </c>
    </row>
    <row r="17" spans="1:5" ht="15" x14ac:dyDescent="0.3">
      <c r="A17" s="37" t="s">
        <v>26</v>
      </c>
      <c r="B17" s="37" t="s">
        <v>8</v>
      </c>
      <c r="C17" s="37" t="s">
        <v>37</v>
      </c>
      <c r="D17" s="37">
        <v>3</v>
      </c>
      <c r="E17" s="28">
        <v>4500</v>
      </c>
    </row>
    <row r="18" spans="1:5" ht="15" x14ac:dyDescent="0.3">
      <c r="A18" s="37" t="s">
        <v>26</v>
      </c>
      <c r="B18" s="37" t="s">
        <v>6</v>
      </c>
      <c r="C18" s="37" t="s">
        <v>30</v>
      </c>
      <c r="D18" s="37">
        <v>4</v>
      </c>
      <c r="E18" s="28">
        <v>280</v>
      </c>
    </row>
    <row r="19" spans="1:5" ht="15" x14ac:dyDescent="0.3">
      <c r="A19" s="37" t="s">
        <v>26</v>
      </c>
      <c r="B19" s="37" t="s">
        <v>23</v>
      </c>
      <c r="C19" s="37" t="s">
        <v>31</v>
      </c>
      <c r="D19" s="37">
        <v>4</v>
      </c>
      <c r="E19" s="28">
        <v>18</v>
      </c>
    </row>
    <row r="20" spans="1:5" ht="15" x14ac:dyDescent="0.3">
      <c r="A20" s="37" t="s">
        <v>26</v>
      </c>
      <c r="B20" s="37" t="s">
        <v>24</v>
      </c>
      <c r="C20" s="37" t="s">
        <v>33</v>
      </c>
      <c r="D20" s="37">
        <v>4</v>
      </c>
      <c r="E20" s="28">
        <v>320</v>
      </c>
    </row>
    <row r="21" spans="1:5" ht="15" x14ac:dyDescent="0.3">
      <c r="A21" s="37" t="s">
        <v>26</v>
      </c>
      <c r="B21" s="37" t="s">
        <v>7</v>
      </c>
      <c r="C21" s="37" t="s">
        <v>32</v>
      </c>
      <c r="D21" s="37">
        <v>4</v>
      </c>
      <c r="E21" s="28">
        <v>32</v>
      </c>
    </row>
    <row r="22" spans="1:5" ht="15" x14ac:dyDescent="0.3">
      <c r="A22" s="37" t="s">
        <v>26</v>
      </c>
      <c r="B22" s="37" t="s">
        <v>8</v>
      </c>
      <c r="C22" s="37" t="s">
        <v>37</v>
      </c>
      <c r="D22" s="37">
        <v>4</v>
      </c>
      <c r="E22" s="28">
        <v>5000</v>
      </c>
    </row>
    <row r="23" spans="1:5" ht="15" x14ac:dyDescent="0.3">
      <c r="A23" s="37" t="s">
        <v>26</v>
      </c>
      <c r="B23" s="37" t="s">
        <v>6</v>
      </c>
      <c r="C23" s="37" t="s">
        <v>30</v>
      </c>
      <c r="D23" s="37">
        <v>5</v>
      </c>
      <c r="E23" s="28">
        <v>300</v>
      </c>
    </row>
    <row r="24" spans="1:5" ht="15" x14ac:dyDescent="0.3">
      <c r="A24" s="37" t="s">
        <v>26</v>
      </c>
      <c r="B24" s="37" t="s">
        <v>23</v>
      </c>
      <c r="C24" s="37" t="s">
        <v>31</v>
      </c>
      <c r="D24" s="37">
        <v>5</v>
      </c>
      <c r="E24" s="28">
        <v>20</v>
      </c>
    </row>
    <row r="25" spans="1:5" ht="15" x14ac:dyDescent="0.3">
      <c r="A25" s="37" t="s">
        <v>26</v>
      </c>
      <c r="B25" s="37" t="s">
        <v>24</v>
      </c>
      <c r="C25" s="37" t="s">
        <v>33</v>
      </c>
      <c r="D25" s="37">
        <v>5</v>
      </c>
      <c r="E25" s="28">
        <v>330</v>
      </c>
    </row>
    <row r="26" spans="1:5" ht="15" x14ac:dyDescent="0.3">
      <c r="A26" s="37" t="s">
        <v>26</v>
      </c>
      <c r="B26" s="37" t="s">
        <v>7</v>
      </c>
      <c r="C26" s="37" t="s">
        <v>32</v>
      </c>
      <c r="D26" s="37">
        <v>5</v>
      </c>
      <c r="E26" s="28">
        <v>35</v>
      </c>
    </row>
    <row r="27" spans="1:5" ht="15" x14ac:dyDescent="0.3">
      <c r="A27" s="37" t="s">
        <v>26</v>
      </c>
      <c r="B27" s="37" t="s">
        <v>8</v>
      </c>
      <c r="C27" s="37" t="s">
        <v>37</v>
      </c>
      <c r="D27" s="37">
        <v>5</v>
      </c>
      <c r="E27" s="28">
        <v>5200</v>
      </c>
    </row>
    <row r="28" spans="1:5" ht="15" x14ac:dyDescent="0.3">
      <c r="A28" s="37" t="s">
        <v>26</v>
      </c>
      <c r="B28" s="37" t="s">
        <v>6</v>
      </c>
      <c r="C28" s="37" t="s">
        <v>30</v>
      </c>
      <c r="D28" s="37">
        <v>6</v>
      </c>
      <c r="E28" s="28">
        <v>310</v>
      </c>
    </row>
    <row r="29" spans="1:5" ht="15" x14ac:dyDescent="0.3">
      <c r="A29" s="37" t="s">
        <v>26</v>
      </c>
      <c r="B29" s="37" t="s">
        <v>23</v>
      </c>
      <c r="C29" s="37" t="s">
        <v>31</v>
      </c>
      <c r="D29" s="37">
        <v>6</v>
      </c>
      <c r="E29" s="28">
        <v>22</v>
      </c>
    </row>
    <row r="30" spans="1:5" ht="15" x14ac:dyDescent="0.3">
      <c r="A30" s="37" t="s">
        <v>26</v>
      </c>
      <c r="B30" s="37" t="s">
        <v>24</v>
      </c>
      <c r="C30" s="37" t="s">
        <v>33</v>
      </c>
      <c r="D30" s="37">
        <v>6</v>
      </c>
      <c r="E30" s="28">
        <v>320</v>
      </c>
    </row>
    <row r="31" spans="1:5" ht="15" x14ac:dyDescent="0.3">
      <c r="A31" s="37" t="s">
        <v>26</v>
      </c>
      <c r="B31" s="37" t="s">
        <v>7</v>
      </c>
      <c r="C31" s="37" t="s">
        <v>32</v>
      </c>
      <c r="D31" s="37">
        <v>6</v>
      </c>
      <c r="E31" s="28">
        <v>36</v>
      </c>
    </row>
    <row r="32" spans="1:5" ht="15" x14ac:dyDescent="0.3">
      <c r="A32" s="37" t="s">
        <v>26</v>
      </c>
      <c r="B32" s="37" t="s">
        <v>8</v>
      </c>
      <c r="C32" s="37" t="s">
        <v>37</v>
      </c>
      <c r="D32" s="37">
        <v>6</v>
      </c>
      <c r="E32" s="28">
        <v>5100</v>
      </c>
    </row>
    <row r="33" spans="1:5" ht="15" x14ac:dyDescent="0.3">
      <c r="A33" s="37" t="s">
        <v>26</v>
      </c>
      <c r="B33" s="37" t="s">
        <v>6</v>
      </c>
      <c r="C33" s="37" t="s">
        <v>30</v>
      </c>
      <c r="D33" s="37">
        <v>7</v>
      </c>
      <c r="E33" s="28">
        <v>300</v>
      </c>
    </row>
    <row r="34" spans="1:5" ht="15" x14ac:dyDescent="0.3">
      <c r="A34" s="37" t="s">
        <v>26</v>
      </c>
      <c r="B34" s="37" t="s">
        <v>23</v>
      </c>
      <c r="C34" s="37" t="s">
        <v>31</v>
      </c>
      <c r="D34" s="37">
        <v>7</v>
      </c>
      <c r="E34" s="28">
        <v>22</v>
      </c>
    </row>
    <row r="35" spans="1:5" ht="15" x14ac:dyDescent="0.3">
      <c r="A35" s="37" t="s">
        <v>26</v>
      </c>
      <c r="B35" s="37" t="s">
        <v>24</v>
      </c>
      <c r="C35" s="37" t="s">
        <v>33</v>
      </c>
      <c r="D35" s="37">
        <v>7</v>
      </c>
      <c r="E35" s="28">
        <v>300</v>
      </c>
    </row>
    <row r="36" spans="1:5" ht="15" x14ac:dyDescent="0.3">
      <c r="A36" s="37" t="s">
        <v>26</v>
      </c>
      <c r="B36" s="37" t="s">
        <v>7</v>
      </c>
      <c r="C36" s="37" t="s">
        <v>32</v>
      </c>
      <c r="D36" s="37">
        <v>7</v>
      </c>
      <c r="E36" s="28">
        <v>35</v>
      </c>
    </row>
    <row r="37" spans="1:5" ht="15" x14ac:dyDescent="0.3">
      <c r="A37" s="37" t="s">
        <v>26</v>
      </c>
      <c r="B37" s="37" t="s">
        <v>8</v>
      </c>
      <c r="C37" s="37" t="s">
        <v>37</v>
      </c>
      <c r="D37" s="37">
        <v>7</v>
      </c>
      <c r="E37" s="28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index</vt:lpstr>
      <vt:lpstr>Livestock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2025-06-12T12:36:29Z</dcterms:created>
  <dcterms:modified xsi:type="dcterms:W3CDTF">2026-03-08T19:36:17Z</dcterms:modified>
</cp:coreProperties>
</file>