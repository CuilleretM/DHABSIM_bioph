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0EFDDF41-C3B1-418A-9ABA-17919327157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dex_pri" sheetId="1" r:id="rId1"/>
    <sheet name="price_data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8" i="10" l="1"/>
</calcChain>
</file>

<file path=xl/sharedStrings.xml><?xml version="1.0" encoding="utf-8"?>
<sst xmlns="http://schemas.openxmlformats.org/spreadsheetml/2006/main" count="300" uniqueCount="82">
  <si>
    <t>index Survey Data</t>
  </si>
  <si>
    <t>Dim</t>
  </si>
  <si>
    <t>Rdim</t>
  </si>
  <si>
    <t>Values</t>
  </si>
  <si>
    <t>par</t>
  </si>
  <si>
    <t>p_pricescalar</t>
  </si>
  <si>
    <t>buyprice</t>
  </si>
  <si>
    <t>selprice</t>
  </si>
  <si>
    <t>nitr</t>
  </si>
  <si>
    <t>labor</t>
  </si>
  <si>
    <t>hh</t>
  </si>
  <si>
    <t>hh_1</t>
  </si>
  <si>
    <t>hh_2</t>
  </si>
  <si>
    <t>p_good_price</t>
  </si>
  <si>
    <t>inout</t>
  </si>
  <si>
    <t>cpriData_raw</t>
  </si>
  <si>
    <t>gpriData_raw</t>
  </si>
  <si>
    <t>spriData_raw</t>
  </si>
  <si>
    <t xml:space="preserve">exhange rate </t>
  </si>
  <si>
    <t>oat_imp</t>
  </si>
  <si>
    <t>chickpea_loc</t>
  </si>
  <si>
    <t>oil_olive</t>
  </si>
  <si>
    <t>oat</t>
  </si>
  <si>
    <t>olive</t>
  </si>
  <si>
    <t>barley</t>
  </si>
  <si>
    <t>chickpea</t>
  </si>
  <si>
    <t>pseed_localCurrency_kg</t>
  </si>
  <si>
    <t>Selling price of crop (localCurrency/kg)</t>
  </si>
  <si>
    <t>distance_km</t>
  </si>
  <si>
    <t>Household</t>
  </si>
  <si>
    <t>Crop activity</t>
  </si>
  <si>
    <t>crop_activity</t>
  </si>
  <si>
    <t>Good</t>
  </si>
  <si>
    <t>Price of good in local currency</t>
  </si>
  <si>
    <t>good</t>
  </si>
  <si>
    <t>local Currency</t>
  </si>
  <si>
    <t>USD</t>
  </si>
  <si>
    <t>Exchange rate</t>
  </si>
  <si>
    <t>Buying price of crop (localCurrency/kg)</t>
  </si>
  <si>
    <t>Inout price</t>
  </si>
  <si>
    <t>Crop activity price</t>
  </si>
  <si>
    <t>Good price</t>
  </si>
  <si>
    <t>Input and output list</t>
  </si>
  <si>
    <t>Seed Price (localCurrency/kg)</t>
  </si>
  <si>
    <t>price_data!C4</t>
  </si>
  <si>
    <t>price_data!N4:P5000</t>
  </si>
  <si>
    <t>price_data!J4:L5000</t>
  </si>
  <si>
    <t>price_data!E4:H5000</t>
  </si>
  <si>
    <t xml:space="preserve">Sets </t>
  </si>
  <si>
    <t>Litterature-online data</t>
  </si>
  <si>
    <t>Survey data</t>
  </si>
  <si>
    <t>Expert data</t>
  </si>
  <si>
    <t>Calibration - modeling</t>
  </si>
  <si>
    <t>hh_5</t>
  </si>
  <si>
    <t>tomato</t>
  </si>
  <si>
    <t>sorgum</t>
  </si>
  <si>
    <t>softw</t>
  </si>
  <si>
    <t>potato</t>
  </si>
  <si>
    <t>petitpois</t>
  </si>
  <si>
    <t>fig</t>
  </si>
  <si>
    <t>favabean</t>
  </si>
  <si>
    <t>durumw</t>
  </si>
  <si>
    <t>clover</t>
  </si>
  <si>
    <t>alfalfa</t>
  </si>
  <si>
    <t>hh_4</t>
  </si>
  <si>
    <t>hh_3</t>
  </si>
  <si>
    <t>forage</t>
  </si>
  <si>
    <t>onion</t>
  </si>
  <si>
    <t>dolique</t>
  </si>
  <si>
    <t>alfalfa_imp</t>
  </si>
  <si>
    <t>barley_imp</t>
  </si>
  <si>
    <t>clover_imp</t>
  </si>
  <si>
    <t>dolique_imp</t>
  </si>
  <si>
    <t>durumw_imp</t>
  </si>
  <si>
    <t>forage_imp</t>
  </si>
  <si>
    <t>petitpois_imp</t>
  </si>
  <si>
    <t>sorgum_imp</t>
  </si>
  <si>
    <t>tomato_imp</t>
  </si>
  <si>
    <t>favabean_loc</t>
  </si>
  <si>
    <t>onion_loc</t>
  </si>
  <si>
    <t>potato_loc</t>
  </si>
  <si>
    <t>softw_imp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</si>
</sst>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.00\ _€_-;\-* #,##0.00\ _€_-;_-* &quot;-&quot;??\ _€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Courier New"/>
      <family val="3"/>
    </font>
    <font>
      <sz val="10"/>
      <color rgb="FF000000"/>
      <name val="Arial"/>
      <family val="2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0">
    <xf numFmtId="0" fontId="0" fillId="0" borderId="0"/>
    <xf numFmtId="0" fontId="2" fillId="0" borderId="0"/>
    <xf numFmtId="165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7" fillId="0" borderId="0" applyNumberFormat="0" applyFill="0" applyBorder="0" applyProtection="0">
      <alignment vertical="center"/>
    </xf>
    <xf numFmtId="0" fontId="6" fillId="0" borderId="0"/>
    <xf numFmtId="0" fontId="6" fillId="0" borderId="0"/>
    <xf numFmtId="0" fontId="6" fillId="0" borderId="0"/>
    <xf numFmtId="0" fontId="8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9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9" fillId="0" borderId="0"/>
    <xf numFmtId="0" fontId="6" fillId="0" borderId="0" applyNumberFormat="0" applyFont="0" applyFill="0" applyBorder="0" applyAlignment="0" applyProtection="0"/>
  </cellStyleXfs>
  <cellXfs count="40">
    <xf numFmtId="0" fontId="0" fillId="0" borderId="0" xfId="0"/>
    <xf numFmtId="0" fontId="3" fillId="0" borderId="0" xfId="1" applyFont="1" applyFill="1" applyBorder="1" applyAlignment="1"/>
    <xf numFmtId="0" fontId="4" fillId="0" borderId="0" xfId="0" applyFont="1"/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/>
    <xf numFmtId="2" fontId="13" fillId="2" borderId="0" xfId="0" applyNumberFormat="1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 wrapText="1"/>
    </xf>
    <xf numFmtId="0" fontId="14" fillId="5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12" fillId="2" borderId="0" xfId="0" quotePrefix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quotePrefix="1" applyFont="1" applyFill="1" applyBorder="1" applyAlignment="1">
      <alignment horizontal="center" vertical="center"/>
    </xf>
    <xf numFmtId="1" fontId="12" fillId="2" borderId="5" xfId="0" applyNumberFormat="1" applyFont="1" applyFill="1" applyBorder="1" applyAlignment="1">
      <alignment horizontal="center" vertical="center" wrapText="1"/>
    </xf>
    <xf numFmtId="2" fontId="13" fillId="2" borderId="4" xfId="0" applyNumberFormat="1" applyFont="1" applyFill="1" applyBorder="1" applyAlignment="1">
      <alignment horizontal="center" vertical="center" wrapText="1"/>
    </xf>
    <xf numFmtId="2" fontId="13" fillId="2" borderId="5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5" fillId="0" borderId="0" xfId="0" applyFont="1" applyAlignment="1">
      <alignment horizontal="center" vertical="top"/>
    </xf>
    <xf numFmtId="1" fontId="0" fillId="0" borderId="0" xfId="0" applyNumberFormat="1"/>
    <xf numFmtId="0" fontId="0" fillId="7" borderId="0" xfId="0" applyFill="1"/>
  </cellXfs>
  <cellStyles count="30">
    <cellStyle name="Answer Codes" xfId="13" xr:uid="{00000000-0005-0000-0000-000000000000}"/>
    <cellStyle name="Comma 2" xfId="2" xr:uid="{00000000-0005-0000-0000-000001000000}"/>
    <cellStyle name="Comma 3" xfId="3" xr:uid="{00000000-0005-0000-0000-000002000000}"/>
    <cellStyle name="Comma 4" xfId="4" xr:uid="{00000000-0005-0000-0000-000003000000}"/>
    <cellStyle name="Comma 4 2" xfId="5" xr:uid="{00000000-0005-0000-0000-000004000000}"/>
    <cellStyle name="Millares 2" xfId="6" xr:uid="{00000000-0005-0000-0000-000006000000}"/>
    <cellStyle name="Milliers 2" xfId="7" xr:uid="{00000000-0005-0000-0000-000007000000}"/>
    <cellStyle name="Normal" xfId="0" builtinId="0"/>
    <cellStyle name="Normal 10" xfId="14" xr:uid="{00000000-0005-0000-0000-000009000000}"/>
    <cellStyle name="Normal 10 2" xfId="15" xr:uid="{00000000-0005-0000-0000-00000A000000}"/>
    <cellStyle name="Normal 11" xfId="29" xr:uid="{00000000-0005-0000-0000-00000B000000}"/>
    <cellStyle name="Normal 2" xfId="8" xr:uid="{00000000-0005-0000-0000-00000C000000}"/>
    <cellStyle name="Normal 2 2" xfId="9" xr:uid="{00000000-0005-0000-0000-00000D000000}"/>
    <cellStyle name="Normal 3" xfId="10" xr:uid="{00000000-0005-0000-0000-00000E000000}"/>
    <cellStyle name="Normal 3 2" xfId="16" xr:uid="{00000000-0005-0000-0000-00000F000000}"/>
    <cellStyle name="Normal 3 2 2" xfId="17" xr:uid="{00000000-0005-0000-0000-000010000000}"/>
    <cellStyle name="Normal 3 3" xfId="18" xr:uid="{00000000-0005-0000-0000-000011000000}"/>
    <cellStyle name="Normal 3 3 2" xfId="19" xr:uid="{00000000-0005-0000-0000-000012000000}"/>
    <cellStyle name="Normal 3 4" xfId="20" xr:uid="{00000000-0005-0000-0000-000013000000}"/>
    <cellStyle name="Normal 3 5" xfId="21" xr:uid="{00000000-0005-0000-0000-000014000000}"/>
    <cellStyle name="Normal 4" xfId="11" xr:uid="{00000000-0005-0000-0000-000015000000}"/>
    <cellStyle name="Normal 4 2" xfId="12" xr:uid="{00000000-0005-0000-0000-000016000000}"/>
    <cellStyle name="Normal 4 3" xfId="22" xr:uid="{00000000-0005-0000-0000-000017000000}"/>
    <cellStyle name="Normal 5" xfId="23" xr:uid="{00000000-0005-0000-0000-000018000000}"/>
    <cellStyle name="Normal 6" xfId="24" xr:uid="{00000000-0005-0000-0000-000019000000}"/>
    <cellStyle name="Normal 6 2" xfId="25" xr:uid="{00000000-0005-0000-0000-00001A000000}"/>
    <cellStyle name="Normal 7" xfId="26" xr:uid="{00000000-0005-0000-0000-00001B000000}"/>
    <cellStyle name="Normal 8" xfId="27" xr:uid="{00000000-0005-0000-0000-00001C000000}"/>
    <cellStyle name="Normal 9" xfId="28" xr:uid="{00000000-0005-0000-0000-00001D000000}"/>
    <cellStyle name="Standard_Crops" xfId="1" xr:uid="{00000000-0005-0000-0000-00001E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C11" sqref="C11:C12"/>
    </sheetView>
  </sheetViews>
  <sheetFormatPr defaultColWidth="9.28515625" defaultRowHeight="15" x14ac:dyDescent="0.25"/>
  <cols>
    <col min="2" max="2" width="28.42578125" customWidth="1"/>
    <col min="3" max="3" width="36.7109375" customWidth="1"/>
  </cols>
  <sheetData>
    <row r="1" spans="1:7" ht="15.75" x14ac:dyDescent="0.25">
      <c r="A1" s="1" t="s">
        <v>0</v>
      </c>
      <c r="B1" s="2"/>
      <c r="C1" s="2"/>
      <c r="D1" s="2"/>
      <c r="E1" s="2"/>
      <c r="F1" s="2"/>
    </row>
    <row r="2" spans="1:7" ht="15.75" x14ac:dyDescent="0.25">
      <c r="A2" s="2"/>
      <c r="B2" s="2"/>
      <c r="C2" s="2"/>
      <c r="D2" s="2"/>
      <c r="E2" s="2"/>
      <c r="F2" s="2"/>
    </row>
    <row r="3" spans="1:7" ht="15.75" x14ac:dyDescent="0.25">
      <c r="A3" s="4"/>
      <c r="B3" s="4"/>
      <c r="C3" s="4"/>
      <c r="D3" s="5" t="s">
        <v>1</v>
      </c>
      <c r="E3" s="5" t="s">
        <v>2</v>
      </c>
      <c r="F3" s="4" t="s">
        <v>3</v>
      </c>
      <c r="G3" s="2"/>
    </row>
    <row r="4" spans="1:7" ht="15.75" x14ac:dyDescent="0.25">
      <c r="A4" s="4" t="s">
        <v>4</v>
      </c>
      <c r="B4" s="4" t="s">
        <v>15</v>
      </c>
      <c r="C4" s="4" t="s">
        <v>47</v>
      </c>
      <c r="D4" s="5">
        <v>3</v>
      </c>
      <c r="E4" s="5">
        <v>2</v>
      </c>
      <c r="F4" s="3"/>
    </row>
    <row r="5" spans="1:7" s="6" customFormat="1" ht="15.75" x14ac:dyDescent="0.25">
      <c r="A5" s="4" t="s">
        <v>4</v>
      </c>
      <c r="B5" s="4" t="s">
        <v>17</v>
      </c>
      <c r="C5" s="4" t="s">
        <v>46</v>
      </c>
      <c r="D5" s="5">
        <v>3</v>
      </c>
      <c r="E5" s="5">
        <v>2</v>
      </c>
    </row>
    <row r="6" spans="1:7" s="6" customFormat="1" ht="15.75" x14ac:dyDescent="0.25">
      <c r="A6" s="4" t="s">
        <v>4</v>
      </c>
      <c r="B6" s="4" t="s">
        <v>16</v>
      </c>
      <c r="C6" s="4" t="s">
        <v>45</v>
      </c>
      <c r="D6" s="5">
        <v>3</v>
      </c>
      <c r="E6" s="5">
        <v>2</v>
      </c>
    </row>
    <row r="7" spans="1:7" ht="15.75" x14ac:dyDescent="0.25">
      <c r="A7" s="4" t="s">
        <v>4</v>
      </c>
      <c r="B7" s="4" t="s">
        <v>5</v>
      </c>
      <c r="C7" s="4" t="s">
        <v>44</v>
      </c>
      <c r="D7" s="5">
        <v>0</v>
      </c>
      <c r="E7" s="5">
        <v>0</v>
      </c>
      <c r="F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87E3-6BF7-440B-A7B4-808B0D9EFB5D}">
  <dimension ref="A1:P76"/>
  <sheetViews>
    <sheetView tabSelected="1" zoomScale="86" workbookViewId="0">
      <selection activeCell="Q29" sqref="Q29"/>
    </sheetView>
  </sheetViews>
  <sheetFormatPr defaultColWidth="11.5703125" defaultRowHeight="14.25" x14ac:dyDescent="0.25"/>
  <cols>
    <col min="1" max="1" width="13.7109375" style="19" customWidth="1"/>
    <col min="2" max="2" width="11.5703125" style="9"/>
    <col min="3" max="3" width="11.5703125" style="20"/>
    <col min="4" max="4" width="11.5703125" style="9"/>
    <col min="5" max="5" width="14.28515625" style="19" customWidth="1"/>
    <col min="6" max="7" width="11.5703125" style="9"/>
    <col min="8" max="8" width="11.5703125" style="20"/>
    <col min="9" max="9" width="11.5703125" style="9"/>
    <col min="10" max="10" width="12.7109375" style="19" customWidth="1"/>
    <col min="11" max="11" width="17.28515625" style="9" customWidth="1"/>
    <col min="12" max="12" width="22.28515625" style="20" customWidth="1"/>
    <col min="13" max="13" width="11.5703125" style="9"/>
    <col min="14" max="14" width="13.42578125" style="19" customWidth="1"/>
    <col min="15" max="15" width="11.5703125" style="9"/>
    <col min="16" max="16" width="11.5703125" style="20"/>
    <col min="17" max="16384" width="11.5703125" style="9"/>
  </cols>
  <sheetData>
    <row r="1" spans="1:16" ht="15" customHeight="1" x14ac:dyDescent="0.25">
      <c r="A1" s="32" t="s">
        <v>37</v>
      </c>
      <c r="B1" s="33"/>
      <c r="C1" s="34"/>
      <c r="E1" s="32" t="s">
        <v>39</v>
      </c>
      <c r="F1" s="33"/>
      <c r="G1" s="33"/>
      <c r="H1" s="34"/>
      <c r="J1" s="32" t="s">
        <v>40</v>
      </c>
      <c r="K1" s="33"/>
      <c r="L1" s="34"/>
      <c r="N1" s="32" t="s">
        <v>41</v>
      </c>
      <c r="O1" s="33"/>
      <c r="P1" s="34"/>
    </row>
    <row r="2" spans="1:16" ht="32.25" thickBot="1" x14ac:dyDescent="0.3">
      <c r="A2" s="15" t="s">
        <v>48</v>
      </c>
      <c r="B2" s="10" t="s">
        <v>49</v>
      </c>
      <c r="C2" s="16" t="s">
        <v>50</v>
      </c>
      <c r="D2" s="11" t="s">
        <v>51</v>
      </c>
      <c r="E2" s="24" t="s">
        <v>52</v>
      </c>
    </row>
    <row r="3" spans="1:16" s="12" customFormat="1" ht="75" x14ac:dyDescent="0.25">
      <c r="A3" s="21"/>
      <c r="B3" s="22" t="s">
        <v>36</v>
      </c>
      <c r="C3" s="23" t="s">
        <v>35</v>
      </c>
      <c r="E3" s="25" t="s">
        <v>29</v>
      </c>
      <c r="F3" s="8" t="s">
        <v>42</v>
      </c>
      <c r="G3" s="8" t="s">
        <v>38</v>
      </c>
      <c r="H3" s="17" t="s">
        <v>27</v>
      </c>
      <c r="J3" s="25" t="s">
        <v>29</v>
      </c>
      <c r="K3" s="8" t="s">
        <v>30</v>
      </c>
      <c r="L3" s="17" t="s">
        <v>43</v>
      </c>
      <c r="N3" s="28" t="s">
        <v>29</v>
      </c>
      <c r="O3" s="7" t="s">
        <v>32</v>
      </c>
      <c r="P3" s="29" t="s">
        <v>33</v>
      </c>
    </row>
    <row r="4" spans="1:16" ht="30" x14ac:dyDescent="0.25">
      <c r="A4" s="30" t="s">
        <v>18</v>
      </c>
      <c r="B4" s="30">
        <v>1</v>
      </c>
      <c r="C4" s="30">
        <v>129.47999999999999</v>
      </c>
      <c r="E4" s="18" t="s">
        <v>10</v>
      </c>
      <c r="F4" s="13" t="s">
        <v>14</v>
      </c>
      <c r="G4" s="14" t="s">
        <v>6</v>
      </c>
      <c r="H4" s="26" t="s">
        <v>7</v>
      </c>
      <c r="J4" s="25" t="s">
        <v>10</v>
      </c>
      <c r="K4" s="8" t="s">
        <v>31</v>
      </c>
      <c r="L4" s="27" t="s">
        <v>26</v>
      </c>
      <c r="N4" s="28" t="s">
        <v>10</v>
      </c>
      <c r="O4" s="7" t="s">
        <v>34</v>
      </c>
      <c r="P4" s="29" t="s">
        <v>13</v>
      </c>
    </row>
    <row r="5" spans="1:16" ht="15" x14ac:dyDescent="0.25">
      <c r="E5" s="30" t="s">
        <v>11</v>
      </c>
      <c r="F5" s="30" t="s">
        <v>9</v>
      </c>
      <c r="G5" s="37">
        <v>800</v>
      </c>
      <c r="H5" s="35">
        <v>0</v>
      </c>
      <c r="J5" s="30" t="s">
        <v>11</v>
      </c>
      <c r="K5" s="6" t="s">
        <v>69</v>
      </c>
      <c r="L5" s="38">
        <v>1700</v>
      </c>
      <c r="N5" s="31" t="s">
        <v>11</v>
      </c>
      <c r="O5" s="6" t="s">
        <v>21</v>
      </c>
      <c r="P5" s="30">
        <v>800</v>
      </c>
    </row>
    <row r="6" spans="1:16" ht="15" x14ac:dyDescent="0.25">
      <c r="E6" s="30" t="s">
        <v>11</v>
      </c>
      <c r="F6" s="30" t="s">
        <v>8</v>
      </c>
      <c r="G6" s="35">
        <v>800</v>
      </c>
      <c r="H6" s="35">
        <v>0</v>
      </c>
      <c r="J6" s="30" t="s">
        <v>11</v>
      </c>
      <c r="K6" s="6" t="s">
        <v>70</v>
      </c>
      <c r="L6" s="38">
        <v>46.6</v>
      </c>
      <c r="N6" s="31" t="s">
        <v>12</v>
      </c>
      <c r="O6" s="6" t="s">
        <v>21</v>
      </c>
      <c r="P6" s="30">
        <v>800</v>
      </c>
    </row>
    <row r="7" spans="1:16" ht="15" x14ac:dyDescent="0.25">
      <c r="E7" s="30" t="s">
        <v>11</v>
      </c>
      <c r="F7" s="6" t="s">
        <v>63</v>
      </c>
      <c r="G7" s="30">
        <v>0</v>
      </c>
      <c r="H7" s="35">
        <v>800</v>
      </c>
      <c r="J7" s="30" t="s">
        <v>11</v>
      </c>
      <c r="K7" s="6" t="s">
        <v>20</v>
      </c>
      <c r="L7" s="38">
        <v>310</v>
      </c>
      <c r="N7" s="31" t="s">
        <v>65</v>
      </c>
      <c r="O7" s="6" t="s">
        <v>21</v>
      </c>
      <c r="P7" s="30">
        <v>800</v>
      </c>
    </row>
    <row r="8" spans="1:16" ht="15" x14ac:dyDescent="0.25">
      <c r="E8" s="30" t="s">
        <v>11</v>
      </c>
      <c r="F8" s="6" t="s">
        <v>24</v>
      </c>
      <c r="G8" s="30">
        <v>0</v>
      </c>
      <c r="H8" s="35">
        <v>800</v>
      </c>
      <c r="J8" s="30" t="s">
        <v>11</v>
      </c>
      <c r="K8" s="6" t="s">
        <v>71</v>
      </c>
      <c r="L8" s="38">
        <v>700</v>
      </c>
      <c r="N8" s="31" t="s">
        <v>64</v>
      </c>
      <c r="O8" s="6" t="s">
        <v>21</v>
      </c>
      <c r="P8" s="30">
        <v>800</v>
      </c>
    </row>
    <row r="9" spans="1:16" ht="15" x14ac:dyDescent="0.25">
      <c r="E9" s="30" t="s">
        <v>11</v>
      </c>
      <c r="F9" s="6" t="s">
        <v>25</v>
      </c>
      <c r="G9" s="30">
        <v>0</v>
      </c>
      <c r="H9" s="35">
        <v>450</v>
      </c>
      <c r="J9" s="30" t="s">
        <v>11</v>
      </c>
      <c r="K9" s="6" t="s">
        <v>72</v>
      </c>
      <c r="L9" s="38">
        <v>600</v>
      </c>
      <c r="N9" s="31" t="s">
        <v>53</v>
      </c>
      <c r="O9" s="6" t="s">
        <v>21</v>
      </c>
      <c r="P9" s="30">
        <v>800</v>
      </c>
    </row>
    <row r="10" spans="1:16" ht="15" x14ac:dyDescent="0.25">
      <c r="E10" s="30" t="s">
        <v>11</v>
      </c>
      <c r="F10" s="6" t="s">
        <v>62</v>
      </c>
      <c r="G10" s="30">
        <v>0</v>
      </c>
      <c r="H10" s="35">
        <v>34</v>
      </c>
      <c r="J10" s="30" t="s">
        <v>11</v>
      </c>
      <c r="K10" s="6" t="s">
        <v>73</v>
      </c>
      <c r="L10" s="38">
        <v>81</v>
      </c>
      <c r="N10" s="31"/>
      <c r="O10" s="31"/>
      <c r="P10" s="31"/>
    </row>
    <row r="11" spans="1:16" ht="15" x14ac:dyDescent="0.25">
      <c r="E11" s="30" t="s">
        <v>11</v>
      </c>
      <c r="F11" s="6" t="s">
        <v>68</v>
      </c>
      <c r="G11" s="30">
        <v>0</v>
      </c>
      <c r="H11" s="35">
        <v>800</v>
      </c>
      <c r="J11" s="30" t="s">
        <v>11</v>
      </c>
      <c r="K11" s="6" t="s">
        <v>74</v>
      </c>
      <c r="L11" s="38">
        <v>46.6</v>
      </c>
      <c r="N11" s="31"/>
      <c r="O11" s="31"/>
      <c r="P11" s="31"/>
    </row>
    <row r="12" spans="1:16" ht="15" x14ac:dyDescent="0.25">
      <c r="E12" s="30" t="s">
        <v>11</v>
      </c>
      <c r="F12" s="6" t="s">
        <v>61</v>
      </c>
      <c r="G12" s="30">
        <v>0</v>
      </c>
      <c r="H12" s="35">
        <v>60</v>
      </c>
      <c r="J12" s="30" t="s">
        <v>11</v>
      </c>
      <c r="K12" s="6" t="s">
        <v>19</v>
      </c>
      <c r="L12" s="38">
        <v>125</v>
      </c>
      <c r="N12" s="31"/>
      <c r="O12" s="31"/>
      <c r="P12" s="31"/>
    </row>
    <row r="13" spans="1:16" ht="15" x14ac:dyDescent="0.25">
      <c r="E13" s="30" t="s">
        <v>11</v>
      </c>
      <c r="F13" s="6" t="s">
        <v>59</v>
      </c>
      <c r="G13" s="30">
        <v>0</v>
      </c>
      <c r="H13" s="36">
        <v>2000</v>
      </c>
      <c r="J13" s="30" t="s">
        <v>11</v>
      </c>
      <c r="K13" s="6" t="s">
        <v>75</v>
      </c>
      <c r="L13" s="38">
        <v>310</v>
      </c>
      <c r="N13" s="31"/>
      <c r="O13" s="31"/>
      <c r="P13" s="31"/>
    </row>
    <row r="14" spans="1:16" ht="15" x14ac:dyDescent="0.25">
      <c r="E14" s="30" t="s">
        <v>11</v>
      </c>
      <c r="F14" s="6" t="s">
        <v>66</v>
      </c>
      <c r="G14" s="30">
        <v>0</v>
      </c>
      <c r="H14" s="36">
        <v>350</v>
      </c>
      <c r="J14" s="30" t="s">
        <v>11</v>
      </c>
      <c r="K14" s="6" t="s">
        <v>76</v>
      </c>
      <c r="L14" s="38">
        <v>350</v>
      </c>
      <c r="N14" s="31"/>
      <c r="O14" s="31"/>
      <c r="P14" s="31"/>
    </row>
    <row r="15" spans="1:16" ht="15" x14ac:dyDescent="0.25">
      <c r="E15" s="30" t="s">
        <v>11</v>
      </c>
      <c r="F15" s="6" t="s">
        <v>22</v>
      </c>
      <c r="G15" s="30">
        <v>0</v>
      </c>
      <c r="H15" s="36">
        <v>50</v>
      </c>
      <c r="J15" s="30" t="s">
        <v>11</v>
      </c>
      <c r="K15" s="6" t="s">
        <v>77</v>
      </c>
      <c r="L15" s="38">
        <v>15</v>
      </c>
      <c r="N15" s="31"/>
      <c r="O15" s="31"/>
      <c r="P15" s="31"/>
    </row>
    <row r="16" spans="1:16" ht="15" x14ac:dyDescent="0.25">
      <c r="E16" s="30" t="s">
        <v>11</v>
      </c>
      <c r="F16" s="6" t="s">
        <v>23</v>
      </c>
      <c r="G16" s="30">
        <v>0</v>
      </c>
      <c r="H16" s="36">
        <v>1200</v>
      </c>
      <c r="J16" s="30" t="s">
        <v>12</v>
      </c>
      <c r="K16" s="6" t="s">
        <v>20</v>
      </c>
      <c r="L16" s="38">
        <v>310</v>
      </c>
      <c r="N16" s="31"/>
      <c r="O16" s="31"/>
      <c r="P16" s="31"/>
    </row>
    <row r="17" spans="5:16" ht="15" x14ac:dyDescent="0.25">
      <c r="E17" s="30" t="s">
        <v>11</v>
      </c>
      <c r="F17" s="6" t="s">
        <v>58</v>
      </c>
      <c r="G17" s="30">
        <v>0</v>
      </c>
      <c r="H17" s="35">
        <v>350</v>
      </c>
      <c r="J17" s="30" t="s">
        <v>12</v>
      </c>
      <c r="K17" s="6" t="s">
        <v>72</v>
      </c>
      <c r="L17" s="38">
        <v>600</v>
      </c>
      <c r="N17" s="31"/>
      <c r="O17" s="31"/>
      <c r="P17" s="31"/>
    </row>
    <row r="18" spans="5:16" ht="15" x14ac:dyDescent="0.25">
      <c r="E18" s="30" t="s">
        <v>11</v>
      </c>
      <c r="F18" s="6" t="s">
        <v>55</v>
      </c>
      <c r="G18" s="30">
        <v>0</v>
      </c>
      <c r="H18" s="35">
        <f>70000*100/40000</f>
        <v>175</v>
      </c>
      <c r="J18" s="30" t="s">
        <v>12</v>
      </c>
      <c r="K18" s="6" t="s">
        <v>78</v>
      </c>
      <c r="L18" s="38">
        <v>450</v>
      </c>
      <c r="N18" s="31"/>
      <c r="O18" s="31"/>
      <c r="P18" s="31"/>
    </row>
    <row r="19" spans="5:16" ht="15" x14ac:dyDescent="0.25">
      <c r="E19" s="30" t="s">
        <v>11</v>
      </c>
      <c r="F19" s="6" t="s">
        <v>54</v>
      </c>
      <c r="G19" s="30">
        <v>0</v>
      </c>
      <c r="H19" s="35">
        <v>110</v>
      </c>
      <c r="J19" s="30" t="s">
        <v>12</v>
      </c>
      <c r="K19" s="6" t="s">
        <v>79</v>
      </c>
      <c r="L19" s="38">
        <v>100</v>
      </c>
    </row>
    <row r="20" spans="5:16" ht="15" x14ac:dyDescent="0.25">
      <c r="E20" s="30" t="s">
        <v>11</v>
      </c>
      <c r="F20" s="30" t="s">
        <v>28</v>
      </c>
      <c r="G20" s="30">
        <v>0.01</v>
      </c>
      <c r="H20" s="35">
        <v>0</v>
      </c>
      <c r="J20" s="30" t="s">
        <v>12</v>
      </c>
      <c r="K20" s="6" t="s">
        <v>80</v>
      </c>
      <c r="L20" s="38">
        <v>20</v>
      </c>
    </row>
    <row r="21" spans="5:16" ht="15" x14ac:dyDescent="0.25">
      <c r="E21" s="30" t="s">
        <v>12</v>
      </c>
      <c r="F21" s="30" t="s">
        <v>9</v>
      </c>
      <c r="G21" s="35">
        <v>800</v>
      </c>
      <c r="H21" s="35">
        <v>0</v>
      </c>
      <c r="J21" s="30" t="s">
        <v>12</v>
      </c>
      <c r="K21" s="39" t="s">
        <v>77</v>
      </c>
      <c r="L21" s="38">
        <v>15</v>
      </c>
    </row>
    <row r="22" spans="5:16" ht="15" x14ac:dyDescent="0.25">
      <c r="E22" s="30" t="s">
        <v>12</v>
      </c>
      <c r="F22" s="30" t="s">
        <v>8</v>
      </c>
      <c r="G22" s="35">
        <v>800</v>
      </c>
      <c r="H22" s="35">
        <v>0</v>
      </c>
      <c r="J22" s="30" t="s">
        <v>65</v>
      </c>
      <c r="K22" s="6" t="s">
        <v>69</v>
      </c>
      <c r="L22" s="38">
        <v>1700</v>
      </c>
    </row>
    <row r="23" spans="5:16" ht="15" x14ac:dyDescent="0.25">
      <c r="E23" s="30" t="s">
        <v>12</v>
      </c>
      <c r="F23" s="6" t="s">
        <v>25</v>
      </c>
      <c r="G23" s="30">
        <v>0</v>
      </c>
      <c r="H23" s="35">
        <v>450</v>
      </c>
      <c r="J23" s="30" t="s">
        <v>65</v>
      </c>
      <c r="K23" s="6" t="s">
        <v>70</v>
      </c>
      <c r="L23" s="38">
        <v>46.6</v>
      </c>
    </row>
    <row r="24" spans="5:16" ht="15" x14ac:dyDescent="0.25">
      <c r="E24" s="30" t="s">
        <v>12</v>
      </c>
      <c r="F24" s="6" t="s">
        <v>68</v>
      </c>
      <c r="G24" s="30">
        <v>0</v>
      </c>
      <c r="H24" s="35">
        <v>800</v>
      </c>
      <c r="J24" s="30" t="s">
        <v>65</v>
      </c>
      <c r="K24" s="6" t="s">
        <v>71</v>
      </c>
      <c r="L24" s="38">
        <v>700</v>
      </c>
    </row>
    <row r="25" spans="5:16" ht="15" x14ac:dyDescent="0.25">
      <c r="E25" s="30" t="s">
        <v>12</v>
      </c>
      <c r="F25" s="6" t="s">
        <v>60</v>
      </c>
      <c r="G25" s="30">
        <v>0</v>
      </c>
      <c r="H25" s="35">
        <v>85</v>
      </c>
      <c r="J25" s="30" t="s">
        <v>65</v>
      </c>
      <c r="K25" s="6" t="s">
        <v>78</v>
      </c>
      <c r="L25" s="38">
        <v>450</v>
      </c>
    </row>
    <row r="26" spans="5:16" ht="15" x14ac:dyDescent="0.25">
      <c r="E26" s="30" t="s">
        <v>12</v>
      </c>
      <c r="F26" s="6" t="s">
        <v>23</v>
      </c>
      <c r="G26" s="30">
        <v>0</v>
      </c>
      <c r="H26" s="36">
        <v>1200</v>
      </c>
      <c r="J26" s="30" t="s">
        <v>65</v>
      </c>
      <c r="K26" s="6" t="s">
        <v>74</v>
      </c>
      <c r="L26" s="38">
        <v>46.6</v>
      </c>
    </row>
    <row r="27" spans="5:16" ht="15" x14ac:dyDescent="0.25">
      <c r="E27" s="30" t="s">
        <v>12</v>
      </c>
      <c r="F27" s="6" t="s">
        <v>67</v>
      </c>
      <c r="G27" s="30">
        <v>0</v>
      </c>
      <c r="H27" s="36">
        <v>35</v>
      </c>
      <c r="J27" s="30" t="s">
        <v>65</v>
      </c>
      <c r="K27" s="6" t="s">
        <v>19</v>
      </c>
      <c r="L27" s="38">
        <v>125</v>
      </c>
    </row>
    <row r="28" spans="5:16" ht="15" x14ac:dyDescent="0.25">
      <c r="E28" s="30" t="s">
        <v>12</v>
      </c>
      <c r="F28" s="6" t="s">
        <v>57</v>
      </c>
      <c r="G28" s="30">
        <v>0</v>
      </c>
      <c r="H28" s="36">
        <v>110</v>
      </c>
      <c r="J28" s="30" t="s">
        <v>65</v>
      </c>
      <c r="K28" s="6" t="s">
        <v>76</v>
      </c>
      <c r="L28" s="38">
        <v>350</v>
      </c>
    </row>
    <row r="29" spans="5:16" ht="15" x14ac:dyDescent="0.25">
      <c r="E29" s="30" t="s">
        <v>12</v>
      </c>
      <c r="F29" s="6" t="s">
        <v>54</v>
      </c>
      <c r="G29" s="30">
        <v>0</v>
      </c>
      <c r="H29" s="36">
        <v>110</v>
      </c>
      <c r="J29" s="30" t="s">
        <v>65</v>
      </c>
      <c r="K29" s="6" t="s">
        <v>77</v>
      </c>
      <c r="L29" s="38">
        <v>15</v>
      </c>
    </row>
    <row r="30" spans="5:16" ht="15" x14ac:dyDescent="0.25">
      <c r="E30" s="30" t="s">
        <v>12</v>
      </c>
      <c r="F30" s="30" t="s">
        <v>28</v>
      </c>
      <c r="G30" s="30">
        <v>0.01</v>
      </c>
      <c r="H30" s="35">
        <v>0</v>
      </c>
      <c r="J30" s="30" t="s">
        <v>64</v>
      </c>
      <c r="K30" s="6" t="s">
        <v>69</v>
      </c>
      <c r="L30" s="38">
        <v>1700</v>
      </c>
    </row>
    <row r="31" spans="5:16" ht="15" x14ac:dyDescent="0.25">
      <c r="E31" s="30" t="s">
        <v>65</v>
      </c>
      <c r="F31" s="30" t="s">
        <v>9</v>
      </c>
      <c r="G31" s="35">
        <v>2000</v>
      </c>
      <c r="H31" s="35">
        <v>0</v>
      </c>
      <c r="J31" s="30" t="s">
        <v>64</v>
      </c>
      <c r="K31" s="6" t="s">
        <v>70</v>
      </c>
      <c r="L31" s="38">
        <v>46.6</v>
      </c>
    </row>
    <row r="32" spans="5:16" ht="15" x14ac:dyDescent="0.25">
      <c r="E32" s="30" t="s">
        <v>65</v>
      </c>
      <c r="F32" s="30" t="s">
        <v>8</v>
      </c>
      <c r="G32" s="35">
        <v>2000</v>
      </c>
      <c r="H32" s="35">
        <v>0</v>
      </c>
      <c r="J32" s="30" t="s">
        <v>64</v>
      </c>
      <c r="K32" s="6" t="s">
        <v>20</v>
      </c>
      <c r="L32" s="38">
        <v>310</v>
      </c>
    </row>
    <row r="33" spans="5:12" ht="15" x14ac:dyDescent="0.25">
      <c r="E33" s="30" t="s">
        <v>65</v>
      </c>
      <c r="F33" s="6" t="s">
        <v>63</v>
      </c>
      <c r="G33" s="30">
        <v>0</v>
      </c>
      <c r="H33" s="35">
        <v>800</v>
      </c>
      <c r="J33" s="30" t="s">
        <v>64</v>
      </c>
      <c r="K33" s="6" t="s">
        <v>71</v>
      </c>
      <c r="L33" s="38">
        <v>700</v>
      </c>
    </row>
    <row r="34" spans="5:12" ht="15" x14ac:dyDescent="0.25">
      <c r="E34" s="30" t="s">
        <v>65</v>
      </c>
      <c r="F34" s="6" t="s">
        <v>24</v>
      </c>
      <c r="G34" s="30">
        <v>0</v>
      </c>
      <c r="H34" s="35">
        <v>800</v>
      </c>
      <c r="J34" s="30" t="s">
        <v>64</v>
      </c>
      <c r="K34" s="6" t="s">
        <v>73</v>
      </c>
      <c r="L34" s="38">
        <v>81</v>
      </c>
    </row>
    <row r="35" spans="5:12" ht="15" x14ac:dyDescent="0.25">
      <c r="E35" s="30" t="s">
        <v>65</v>
      </c>
      <c r="F35" s="6" t="s">
        <v>62</v>
      </c>
      <c r="G35" s="30">
        <v>0</v>
      </c>
      <c r="H35" s="35">
        <v>34</v>
      </c>
      <c r="J35" s="30" t="s">
        <v>64</v>
      </c>
      <c r="K35" s="6" t="s">
        <v>78</v>
      </c>
      <c r="L35" s="38">
        <v>450</v>
      </c>
    </row>
    <row r="36" spans="5:12" ht="15" x14ac:dyDescent="0.25">
      <c r="E36" s="30" t="s">
        <v>65</v>
      </c>
      <c r="F36" s="6" t="s">
        <v>60</v>
      </c>
      <c r="G36" s="30">
        <v>0</v>
      </c>
      <c r="H36" s="35">
        <v>85</v>
      </c>
      <c r="J36" s="30" t="s">
        <v>64</v>
      </c>
      <c r="K36" s="6" t="s">
        <v>19</v>
      </c>
      <c r="L36" s="38">
        <v>125</v>
      </c>
    </row>
    <row r="37" spans="5:12" ht="15" x14ac:dyDescent="0.25">
      <c r="E37" s="30" t="s">
        <v>65</v>
      </c>
      <c r="F37" s="6" t="s">
        <v>66</v>
      </c>
      <c r="G37" s="30">
        <v>0</v>
      </c>
      <c r="H37" s="30">
        <v>350</v>
      </c>
      <c r="J37" s="30" t="s">
        <v>64</v>
      </c>
      <c r="K37" s="6" t="s">
        <v>75</v>
      </c>
      <c r="L37" s="38">
        <v>310</v>
      </c>
    </row>
    <row r="38" spans="5:12" ht="15" x14ac:dyDescent="0.25">
      <c r="E38" s="30" t="s">
        <v>65</v>
      </c>
      <c r="F38" s="6" t="s">
        <v>22</v>
      </c>
      <c r="G38" s="30">
        <v>0</v>
      </c>
      <c r="H38" s="30">
        <v>50</v>
      </c>
      <c r="J38" s="30" t="s">
        <v>64</v>
      </c>
      <c r="K38" s="6" t="s">
        <v>80</v>
      </c>
      <c r="L38" s="38">
        <v>150</v>
      </c>
    </row>
    <row r="39" spans="5:12" ht="15" x14ac:dyDescent="0.25">
      <c r="E39" s="30" t="s">
        <v>65</v>
      </c>
      <c r="F39" s="6" t="s">
        <v>23</v>
      </c>
      <c r="G39" s="30">
        <v>0</v>
      </c>
      <c r="H39" s="30">
        <v>1200</v>
      </c>
      <c r="J39" s="30" t="s">
        <v>64</v>
      </c>
      <c r="K39" s="6" t="s">
        <v>81</v>
      </c>
      <c r="L39" s="38">
        <v>66</v>
      </c>
    </row>
    <row r="40" spans="5:12" ht="15" x14ac:dyDescent="0.25">
      <c r="E40" s="30" t="s">
        <v>65</v>
      </c>
      <c r="F40" s="6" t="s">
        <v>55</v>
      </c>
      <c r="G40" s="30">
        <v>0</v>
      </c>
      <c r="H40" s="30">
        <v>175</v>
      </c>
      <c r="J40" s="30" t="s">
        <v>64</v>
      </c>
      <c r="K40" s="6" t="s">
        <v>76</v>
      </c>
      <c r="L40" s="38">
        <v>350</v>
      </c>
    </row>
    <row r="41" spans="5:12" ht="15" x14ac:dyDescent="0.25">
      <c r="E41" s="30" t="s">
        <v>65</v>
      </c>
      <c r="F41" s="6" t="s">
        <v>54</v>
      </c>
      <c r="G41" s="30">
        <v>0</v>
      </c>
      <c r="H41" s="30">
        <v>60</v>
      </c>
      <c r="J41" s="30" t="s">
        <v>64</v>
      </c>
      <c r="K41" s="6" t="s">
        <v>77</v>
      </c>
      <c r="L41" s="38">
        <v>15</v>
      </c>
    </row>
    <row r="42" spans="5:12" ht="15" x14ac:dyDescent="0.25">
      <c r="E42" s="30" t="s">
        <v>65</v>
      </c>
      <c r="F42" s="30" t="s">
        <v>28</v>
      </c>
      <c r="G42" s="30">
        <v>0.01</v>
      </c>
      <c r="H42" s="35">
        <v>0</v>
      </c>
      <c r="J42" s="36" t="s">
        <v>53</v>
      </c>
      <c r="K42" s="6" t="s">
        <v>69</v>
      </c>
      <c r="L42" s="38">
        <v>1700</v>
      </c>
    </row>
    <row r="43" spans="5:12" ht="15" x14ac:dyDescent="0.25">
      <c r="E43" s="30" t="s">
        <v>64</v>
      </c>
      <c r="F43" s="30" t="s">
        <v>9</v>
      </c>
      <c r="G43" s="37">
        <v>800</v>
      </c>
      <c r="H43" s="35">
        <v>0</v>
      </c>
      <c r="J43" s="36" t="s">
        <v>53</v>
      </c>
      <c r="K43" s="6" t="s">
        <v>70</v>
      </c>
      <c r="L43" s="38">
        <v>46.6</v>
      </c>
    </row>
    <row r="44" spans="5:12" ht="15" x14ac:dyDescent="0.25">
      <c r="E44" s="30" t="s">
        <v>64</v>
      </c>
      <c r="F44" s="30" t="s">
        <v>8</v>
      </c>
      <c r="G44" s="35">
        <v>800</v>
      </c>
      <c r="H44" s="35">
        <v>0</v>
      </c>
      <c r="J44" s="36" t="s">
        <v>53</v>
      </c>
      <c r="K44" s="6" t="s">
        <v>20</v>
      </c>
      <c r="L44" s="38">
        <v>310</v>
      </c>
    </row>
    <row r="45" spans="5:12" ht="15" x14ac:dyDescent="0.25">
      <c r="E45" s="30" t="s">
        <v>64</v>
      </c>
      <c r="F45" s="6" t="s">
        <v>63</v>
      </c>
      <c r="G45" s="30">
        <v>0.01</v>
      </c>
      <c r="H45" s="35">
        <v>800</v>
      </c>
      <c r="J45" s="36" t="s">
        <v>53</v>
      </c>
      <c r="K45" s="6" t="s">
        <v>71</v>
      </c>
      <c r="L45" s="38">
        <v>700</v>
      </c>
    </row>
    <row r="46" spans="5:12" ht="15" x14ac:dyDescent="0.25">
      <c r="E46" s="30" t="s">
        <v>64</v>
      </c>
      <c r="F46" s="6" t="s">
        <v>24</v>
      </c>
      <c r="G46" s="30">
        <v>0</v>
      </c>
      <c r="H46" s="35">
        <v>800</v>
      </c>
      <c r="J46" s="36" t="s">
        <v>53</v>
      </c>
      <c r="K46" s="6" t="s">
        <v>73</v>
      </c>
      <c r="L46" s="38">
        <v>81</v>
      </c>
    </row>
    <row r="47" spans="5:12" ht="15" x14ac:dyDescent="0.25">
      <c r="E47" s="30" t="s">
        <v>64</v>
      </c>
      <c r="F47" s="6" t="s">
        <v>25</v>
      </c>
      <c r="G47" s="30">
        <v>0</v>
      </c>
      <c r="H47" s="35">
        <v>450</v>
      </c>
      <c r="J47" s="36" t="s">
        <v>53</v>
      </c>
      <c r="K47" s="6" t="s">
        <v>78</v>
      </c>
      <c r="L47" s="38">
        <v>450</v>
      </c>
    </row>
    <row r="48" spans="5:12" ht="15" x14ac:dyDescent="0.25">
      <c r="E48" s="30" t="s">
        <v>64</v>
      </c>
      <c r="F48" s="6" t="s">
        <v>62</v>
      </c>
      <c r="G48" s="30">
        <v>0</v>
      </c>
      <c r="H48" s="35">
        <v>34</v>
      </c>
      <c r="J48" s="36" t="s">
        <v>53</v>
      </c>
      <c r="K48" s="6" t="s">
        <v>19</v>
      </c>
      <c r="L48" s="38">
        <v>125</v>
      </c>
    </row>
    <row r="49" spans="5:12" ht="15" x14ac:dyDescent="0.25">
      <c r="E49" s="30" t="s">
        <v>64</v>
      </c>
      <c r="F49" s="6" t="s">
        <v>61</v>
      </c>
      <c r="G49" s="30">
        <v>0</v>
      </c>
      <c r="H49" s="35">
        <v>60</v>
      </c>
      <c r="J49" s="36" t="s">
        <v>53</v>
      </c>
      <c r="K49" s="6" t="s">
        <v>75</v>
      </c>
      <c r="L49" s="38">
        <v>310</v>
      </c>
    </row>
    <row r="50" spans="5:12" ht="15" x14ac:dyDescent="0.25">
      <c r="E50" s="30" t="s">
        <v>64</v>
      </c>
      <c r="F50" s="6" t="s">
        <v>60</v>
      </c>
      <c r="G50" s="30">
        <v>0</v>
      </c>
      <c r="H50" s="35">
        <v>85</v>
      </c>
      <c r="J50" s="36" t="s">
        <v>53</v>
      </c>
      <c r="K50" s="6" t="s">
        <v>80</v>
      </c>
      <c r="L50" s="38">
        <v>150</v>
      </c>
    </row>
    <row r="51" spans="5:12" ht="15" x14ac:dyDescent="0.25">
      <c r="E51" s="30" t="s">
        <v>64</v>
      </c>
      <c r="F51" s="6" t="s">
        <v>59</v>
      </c>
      <c r="G51" s="30">
        <v>0</v>
      </c>
      <c r="H51" s="36">
        <v>300</v>
      </c>
      <c r="J51" s="36" t="s">
        <v>53</v>
      </c>
      <c r="K51" s="6" t="s">
        <v>81</v>
      </c>
      <c r="L51" s="38">
        <v>66</v>
      </c>
    </row>
    <row r="52" spans="5:12" ht="15" x14ac:dyDescent="0.25">
      <c r="E52" s="30" t="s">
        <v>64</v>
      </c>
      <c r="F52" s="6" t="s">
        <v>22</v>
      </c>
      <c r="G52" s="30">
        <v>0</v>
      </c>
      <c r="H52" s="30">
        <v>50</v>
      </c>
      <c r="J52" s="36" t="s">
        <v>53</v>
      </c>
      <c r="K52" s="6" t="s">
        <v>76</v>
      </c>
      <c r="L52" s="38">
        <v>350</v>
      </c>
    </row>
    <row r="53" spans="5:12" ht="15" x14ac:dyDescent="0.25">
      <c r="E53" s="30" t="s">
        <v>64</v>
      </c>
      <c r="F53" s="6" t="s">
        <v>23</v>
      </c>
      <c r="G53" s="30">
        <v>0</v>
      </c>
      <c r="H53" s="30">
        <v>1200</v>
      </c>
      <c r="J53" s="36" t="s">
        <v>53</v>
      </c>
      <c r="K53" s="6" t="s">
        <v>77</v>
      </c>
      <c r="L53" s="38">
        <v>15</v>
      </c>
    </row>
    <row r="54" spans="5:12" ht="15" x14ac:dyDescent="0.25">
      <c r="E54" s="30" t="s">
        <v>64</v>
      </c>
      <c r="F54" s="6" t="s">
        <v>58</v>
      </c>
      <c r="G54" s="30">
        <v>0</v>
      </c>
      <c r="H54" s="35">
        <v>350</v>
      </c>
    </row>
    <row r="55" spans="5:12" ht="15" x14ac:dyDescent="0.25">
      <c r="E55" s="30" t="s">
        <v>64</v>
      </c>
      <c r="F55" s="6" t="s">
        <v>57</v>
      </c>
      <c r="G55" s="30">
        <v>0</v>
      </c>
      <c r="H55" s="35">
        <v>60</v>
      </c>
    </row>
    <row r="56" spans="5:12" ht="15" x14ac:dyDescent="0.25">
      <c r="E56" s="30" t="s">
        <v>64</v>
      </c>
      <c r="F56" s="6" t="s">
        <v>56</v>
      </c>
      <c r="G56" s="30">
        <v>0</v>
      </c>
      <c r="H56" s="35">
        <v>50</v>
      </c>
    </row>
    <row r="57" spans="5:12" ht="15" x14ac:dyDescent="0.25">
      <c r="E57" s="30" t="s">
        <v>64</v>
      </c>
      <c r="F57" s="6" t="s">
        <v>55</v>
      </c>
      <c r="G57" s="30">
        <v>0</v>
      </c>
      <c r="H57" s="35">
        <v>175</v>
      </c>
    </row>
    <row r="58" spans="5:12" ht="15" x14ac:dyDescent="0.25">
      <c r="E58" s="30" t="s">
        <v>64</v>
      </c>
      <c r="F58" s="6" t="s">
        <v>54</v>
      </c>
      <c r="G58" s="30">
        <v>0</v>
      </c>
      <c r="H58" s="35">
        <v>60</v>
      </c>
    </row>
    <row r="59" spans="5:12" x14ac:dyDescent="0.25">
      <c r="E59" s="30" t="s">
        <v>64</v>
      </c>
      <c r="F59" s="30" t="s">
        <v>28</v>
      </c>
      <c r="G59" s="30">
        <v>0.01</v>
      </c>
      <c r="H59" s="35">
        <v>0</v>
      </c>
    </row>
    <row r="60" spans="5:12" x14ac:dyDescent="0.25">
      <c r="E60" s="30" t="s">
        <v>53</v>
      </c>
      <c r="F60" s="30" t="s">
        <v>9</v>
      </c>
      <c r="G60" s="35">
        <v>800</v>
      </c>
      <c r="H60" s="35">
        <v>0</v>
      </c>
    </row>
    <row r="61" spans="5:12" x14ac:dyDescent="0.25">
      <c r="E61" s="30" t="s">
        <v>53</v>
      </c>
      <c r="F61" s="30" t="s">
        <v>8</v>
      </c>
      <c r="G61" s="35">
        <v>800</v>
      </c>
      <c r="H61" s="35">
        <v>0</v>
      </c>
    </row>
    <row r="62" spans="5:12" ht="15" x14ac:dyDescent="0.25">
      <c r="E62" s="36" t="s">
        <v>53</v>
      </c>
      <c r="F62" s="6" t="s">
        <v>63</v>
      </c>
      <c r="G62" s="30">
        <v>0.01</v>
      </c>
      <c r="H62" s="35">
        <v>800</v>
      </c>
    </row>
    <row r="63" spans="5:12" ht="15" x14ac:dyDescent="0.25">
      <c r="E63" s="36" t="s">
        <v>53</v>
      </c>
      <c r="F63" s="6" t="s">
        <v>24</v>
      </c>
      <c r="G63" s="30">
        <v>0</v>
      </c>
      <c r="H63" s="35">
        <v>800</v>
      </c>
    </row>
    <row r="64" spans="5:12" ht="15" x14ac:dyDescent="0.25">
      <c r="E64" s="36" t="s">
        <v>53</v>
      </c>
      <c r="F64" s="6" t="s">
        <v>25</v>
      </c>
      <c r="G64" s="30">
        <v>0</v>
      </c>
      <c r="H64" s="35">
        <v>450</v>
      </c>
    </row>
    <row r="65" spans="5:8" ht="15" x14ac:dyDescent="0.25">
      <c r="E65" s="36" t="s">
        <v>53</v>
      </c>
      <c r="F65" s="6" t="s">
        <v>62</v>
      </c>
      <c r="G65" s="30">
        <v>0</v>
      </c>
      <c r="H65" s="35">
        <v>34</v>
      </c>
    </row>
    <row r="66" spans="5:8" ht="15" x14ac:dyDescent="0.25">
      <c r="E66" s="36" t="s">
        <v>53</v>
      </c>
      <c r="F66" s="6" t="s">
        <v>61</v>
      </c>
      <c r="G66" s="30">
        <v>0</v>
      </c>
      <c r="H66" s="35">
        <v>60</v>
      </c>
    </row>
    <row r="67" spans="5:8" ht="15" x14ac:dyDescent="0.25">
      <c r="E67" s="36" t="s">
        <v>53</v>
      </c>
      <c r="F67" s="6" t="s">
        <v>60</v>
      </c>
      <c r="G67" s="30">
        <v>0</v>
      </c>
      <c r="H67" s="35">
        <v>85</v>
      </c>
    </row>
    <row r="68" spans="5:8" ht="15" x14ac:dyDescent="0.25">
      <c r="E68" s="36" t="s">
        <v>53</v>
      </c>
      <c r="F68" s="6" t="s">
        <v>59</v>
      </c>
      <c r="G68" s="30">
        <v>0</v>
      </c>
      <c r="H68" s="36">
        <v>300</v>
      </c>
    </row>
    <row r="69" spans="5:8" ht="15" x14ac:dyDescent="0.25">
      <c r="E69" s="36" t="s">
        <v>53</v>
      </c>
      <c r="F69" s="6" t="s">
        <v>22</v>
      </c>
      <c r="G69" s="30">
        <v>0</v>
      </c>
      <c r="H69" s="30">
        <v>50</v>
      </c>
    </row>
    <row r="70" spans="5:8" ht="15" x14ac:dyDescent="0.25">
      <c r="E70" s="36" t="s">
        <v>53</v>
      </c>
      <c r="F70" s="6" t="s">
        <v>23</v>
      </c>
      <c r="G70" s="30">
        <v>0</v>
      </c>
      <c r="H70" s="30">
        <v>1200</v>
      </c>
    </row>
    <row r="71" spans="5:8" ht="15" x14ac:dyDescent="0.25">
      <c r="E71" s="36" t="s">
        <v>53</v>
      </c>
      <c r="F71" s="6" t="s">
        <v>58</v>
      </c>
      <c r="G71" s="30">
        <v>0</v>
      </c>
      <c r="H71" s="35">
        <v>350</v>
      </c>
    </row>
    <row r="72" spans="5:8" ht="15" x14ac:dyDescent="0.25">
      <c r="E72" s="36" t="s">
        <v>53</v>
      </c>
      <c r="F72" s="6" t="s">
        <v>57</v>
      </c>
      <c r="G72" s="30">
        <v>0.01</v>
      </c>
      <c r="H72" s="35">
        <v>60</v>
      </c>
    </row>
    <row r="73" spans="5:8" ht="15" x14ac:dyDescent="0.25">
      <c r="E73" s="36" t="s">
        <v>53</v>
      </c>
      <c r="F73" s="6" t="s">
        <v>56</v>
      </c>
      <c r="G73" s="30">
        <v>0.01</v>
      </c>
      <c r="H73" s="35">
        <v>50</v>
      </c>
    </row>
    <row r="74" spans="5:8" ht="15" x14ac:dyDescent="0.25">
      <c r="E74" s="36" t="s">
        <v>53</v>
      </c>
      <c r="F74" s="6" t="s">
        <v>55</v>
      </c>
      <c r="G74" s="30">
        <v>0.01</v>
      </c>
      <c r="H74" s="35">
        <v>175</v>
      </c>
    </row>
    <row r="75" spans="5:8" ht="15" x14ac:dyDescent="0.25">
      <c r="E75" s="36" t="s">
        <v>53</v>
      </c>
      <c r="F75" s="6" t="s">
        <v>54</v>
      </c>
      <c r="G75" s="30">
        <v>0.01</v>
      </c>
      <c r="H75" s="35">
        <v>60</v>
      </c>
    </row>
    <row r="76" spans="5:8" x14ac:dyDescent="0.25">
      <c r="E76" s="30" t="s">
        <v>53</v>
      </c>
      <c r="F76" s="30" t="s">
        <v>28</v>
      </c>
      <c r="G76" s="30">
        <v>0.01</v>
      </c>
      <c r="H76" s="35">
        <v>0</v>
      </c>
    </row>
  </sheetData>
  <mergeCells count="4">
    <mergeCell ref="A1:C1"/>
    <mergeCell ref="E1:H1"/>
    <mergeCell ref="J1:L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index_pri</vt:lpstr>
      <vt:lpstr>price_data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2026-03-05T16:48:22Z</dcterms:modified>
</cp:coreProperties>
</file>